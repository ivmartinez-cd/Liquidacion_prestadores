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atamarca\Año 2026\202604\"/>
    </mc:Choice>
  </mc:AlternateContent>
  <xr:revisionPtr revIDLastSave="0" documentId="8_{934B5C8E-8270-4DAA-8253-D0D76B907C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" sheetId="1" r:id="rId1"/>
    <sheet name="VIATICOS" sheetId="3" r:id="rId2"/>
    <sheet name="INCIDENTES" sheetId="4" r:id="rId3"/>
  </sheets>
  <definedNames>
    <definedName name="_xlnm._FilterDatabase" localSheetId="0" hidden="1">ABRIL!$B$4:$M$6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G18" i="1"/>
  <c r="H18" i="1" s="1"/>
  <c r="H7" i="1"/>
  <c r="I6" i="1"/>
  <c r="G6" i="1"/>
  <c r="H6" i="1" s="1"/>
  <c r="J388" i="4"/>
  <c r="K388" i="4" s="1"/>
  <c r="K389" i="4"/>
  <c r="K383" i="4"/>
  <c r="K387" i="4"/>
  <c r="K378" i="4"/>
  <c r="K381" i="4"/>
  <c r="J390" i="4"/>
  <c r="K390" i="4" s="1"/>
  <c r="K384" i="4"/>
  <c r="K386" i="4"/>
  <c r="K382" i="4"/>
  <c r="K380" i="4"/>
  <c r="K379" i="4"/>
  <c r="L6" i="1" l="1"/>
  <c r="D26" i="1"/>
  <c r="C26" i="1"/>
  <c r="K342" i="4"/>
  <c r="K341" i="4"/>
  <c r="J340" i="4"/>
  <c r="K340" i="4" s="1"/>
  <c r="K320" i="4"/>
  <c r="K321" i="4"/>
  <c r="K323" i="4"/>
  <c r="K324" i="4"/>
  <c r="K326" i="4"/>
  <c r="K327" i="4"/>
  <c r="K328" i="4"/>
  <c r="J325" i="4"/>
  <c r="K325" i="4" s="1"/>
  <c r="K214" i="4"/>
  <c r="K215" i="4"/>
  <c r="K209" i="4"/>
  <c r="K210" i="4"/>
  <c r="K211" i="4"/>
  <c r="K212" i="4"/>
  <c r="K205" i="4"/>
  <c r="K206" i="4"/>
  <c r="K207" i="4"/>
  <c r="K208" i="4"/>
  <c r="K193" i="4"/>
  <c r="K204" i="4"/>
  <c r="K194" i="4"/>
  <c r="K195" i="4"/>
  <c r="K196" i="4"/>
  <c r="K197" i="4"/>
  <c r="K198" i="4"/>
  <c r="K199" i="4"/>
  <c r="K200" i="4"/>
  <c r="K201" i="4"/>
  <c r="K202" i="4"/>
  <c r="K203" i="4"/>
  <c r="K190" i="4"/>
  <c r="K189" i="4"/>
  <c r="K213" i="4"/>
  <c r="K153" i="4" l="1"/>
  <c r="K155" i="4"/>
  <c r="K156" i="4"/>
  <c r="K157" i="4"/>
  <c r="K152" i="4"/>
  <c r="F8" i="1"/>
  <c r="K19" i="4"/>
  <c r="K16" i="4"/>
  <c r="K17" i="4"/>
  <c r="K4" i="4"/>
  <c r="K6" i="4"/>
  <c r="K7" i="4"/>
  <c r="K8" i="4"/>
  <c r="K9" i="4"/>
  <c r="K10" i="4"/>
  <c r="K11" i="4"/>
  <c r="K12" i="4"/>
  <c r="K13" i="4"/>
  <c r="K14" i="4"/>
  <c r="K15" i="4"/>
  <c r="K5" i="4"/>
  <c r="K3" i="4"/>
  <c r="K2" i="4"/>
  <c r="K21" i="4"/>
  <c r="K22" i="4"/>
  <c r="K23" i="4"/>
  <c r="K24" i="4"/>
  <c r="K25" i="4"/>
  <c r="K26" i="4"/>
  <c r="K27" i="4"/>
  <c r="K28" i="4"/>
  <c r="K18" i="4"/>
  <c r="J6" i="1"/>
  <c r="F7" i="1"/>
  <c r="G13" i="1"/>
  <c r="H13" i="1" s="1"/>
  <c r="I13" i="1"/>
  <c r="K13" i="1" s="1"/>
  <c r="H8" i="1" l="1"/>
  <c r="D25" i="1"/>
  <c r="F25" i="1" s="1"/>
  <c r="K6" i="1"/>
  <c r="L13" i="1"/>
  <c r="M13" i="1" s="1"/>
  <c r="D28" i="1"/>
  <c r="F28" i="1" s="1"/>
  <c r="D31" i="1"/>
  <c r="F31" i="1" s="1"/>
  <c r="J18" i="1"/>
  <c r="M6" i="1" l="1"/>
  <c r="K18" i="1"/>
  <c r="L18" i="1" s="1"/>
  <c r="D32" i="1"/>
  <c r="F32" i="1" s="1"/>
  <c r="D27" i="1"/>
  <c r="F27" i="1" s="1"/>
  <c r="D24" i="1"/>
  <c r="F24" i="1" s="1"/>
  <c r="M18" i="1" l="1"/>
  <c r="D30" i="1" l="1"/>
  <c r="F30" i="1" s="1"/>
  <c r="D29" i="1" l="1"/>
  <c r="F29" i="1" l="1"/>
  <c r="F33" i="1" s="1"/>
  <c r="M19" i="1" l="1"/>
</calcChain>
</file>

<file path=xl/sharedStrings.xml><?xml version="1.0" encoding="utf-8"?>
<sst xmlns="http://schemas.openxmlformats.org/spreadsheetml/2006/main" count="1826" uniqueCount="394">
  <si>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</si>
  <si>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</si>
  <si>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</si>
  <si>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</si>
  <si>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</si>
  <si>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</si>
  <si>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</si>
  <si>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</si>
  <si>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</si>
  <si>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</si>
  <si>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</si>
  <si>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Preventivo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</si>
  <si>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</si>
  <si>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</si>
  <si>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</si>
  <si>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</si>
  <si>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</si>
  <si>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</si>
  <si>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</si>
  <si>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</si>
  <si>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</si>
  <si>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</si>
  <si>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</si>
  <si>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</si>
  <si>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</si>
  <si>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GUARDIA</t>
  </si>
  <si>
    <t>OCA</t>
  </si>
  <si>
    <t>Instalación</t>
  </si>
  <si>
    <t>Banco Credicoop</t>
  </si>
  <si>
    <t>Natura</t>
  </si>
  <si>
    <t>Inc Adicional</t>
  </si>
  <si>
    <t>PST Catamarca - Ramon Orellana</t>
  </si>
  <si>
    <t>682215-8</t>
  </si>
  <si>
    <t>Transportes La Sevillanita</t>
  </si>
  <si>
    <t>Catamarca</t>
  </si>
  <si>
    <t>79100TR</t>
  </si>
  <si>
    <t>681769-7</t>
  </si>
  <si>
    <t>Ivana González Martínez</t>
  </si>
  <si>
    <t>PF31YQAE</t>
  </si>
  <si>
    <t>680660-0</t>
  </si>
  <si>
    <t>CATAMARCA</t>
  </si>
  <si>
    <t>679981-4</t>
  </si>
  <si>
    <t>Carolina Henud</t>
  </si>
  <si>
    <t>PF31J069</t>
  </si>
  <si>
    <t>679145-0</t>
  </si>
  <si>
    <t>678550-1</t>
  </si>
  <si>
    <t>Salta Refrescos (Región Norte)</t>
  </si>
  <si>
    <t>CEDI Catamarca</t>
  </si>
  <si>
    <t>MXBCN39151</t>
  </si>
  <si>
    <t>678549-5</t>
  </si>
  <si>
    <t>MXBCN3914K</t>
  </si>
  <si>
    <t>678548-6</t>
  </si>
  <si>
    <t>BRBSN9YYK1</t>
  </si>
  <si>
    <t>678547-7</t>
  </si>
  <si>
    <t>BRBSP570D6</t>
  </si>
  <si>
    <t>678546-8</t>
  </si>
  <si>
    <t>BRBSN9YYWW</t>
  </si>
  <si>
    <t>678545-9</t>
  </si>
  <si>
    <t>BRBSN9YYRQ</t>
  </si>
  <si>
    <t>678544-0</t>
  </si>
  <si>
    <t>BRBSN9YYJW</t>
  </si>
  <si>
    <t>678543-1</t>
  </si>
  <si>
    <t>BRBSP570BM</t>
  </si>
  <si>
    <t>678542-2</t>
  </si>
  <si>
    <t>BRBSP570CT</t>
  </si>
  <si>
    <t>678541-3</t>
  </si>
  <si>
    <t>BRBSP570G6</t>
  </si>
  <si>
    <t>678306-2</t>
  </si>
  <si>
    <t>Karen Daniela Castillo</t>
  </si>
  <si>
    <t>PF31HW88</t>
  </si>
  <si>
    <t>672383-9</t>
  </si>
  <si>
    <t>253 - Catamarca</t>
  </si>
  <si>
    <t>076UBJFJA00023B</t>
  </si>
  <si>
    <t>670897-3</t>
  </si>
  <si>
    <t>Salta Refrescos (Región Sur)</t>
  </si>
  <si>
    <t>794GRK7</t>
  </si>
  <si>
    <t>668619-4</t>
  </si>
  <si>
    <t>7954HVL</t>
  </si>
  <si>
    <t>668618-5</t>
  </si>
  <si>
    <t>794VFP4</t>
  </si>
  <si>
    <t>668617-6</t>
  </si>
  <si>
    <t>794LCPP</t>
  </si>
  <si>
    <t>668614-9</t>
  </si>
  <si>
    <t>794956B</t>
  </si>
  <si>
    <t>668613-0</t>
  </si>
  <si>
    <t>668611-2</t>
  </si>
  <si>
    <t>7946KT3</t>
  </si>
  <si>
    <t>668610-3</t>
  </si>
  <si>
    <t>793MP66</t>
  </si>
  <si>
    <t>668609-7</t>
  </si>
  <si>
    <t>79239ZD</t>
  </si>
  <si>
    <t>689349-3</t>
  </si>
  <si>
    <t>689232-4</t>
  </si>
  <si>
    <t>794GR8F</t>
  </si>
  <si>
    <t>688712-8</t>
  </si>
  <si>
    <t>Z75NBJBD2000CJK</t>
  </si>
  <si>
    <t>683711-4</t>
  </si>
  <si>
    <t>Giselle Amira Didb</t>
  </si>
  <si>
    <t>PF31J2VP</t>
  </si>
  <si>
    <t>695152-0</t>
  </si>
  <si>
    <t>Efectivo Si</t>
  </si>
  <si>
    <t>0ACTBJFH900035A</t>
  </si>
  <si>
    <t>694993-2</t>
  </si>
  <si>
    <t>Correo Argentino</t>
  </si>
  <si>
    <t>79G3HTK</t>
  </si>
  <si>
    <t>693672-5</t>
  </si>
  <si>
    <t>689309-5</t>
  </si>
  <si>
    <t>ZDBXBJCFA00005T</t>
  </si>
  <si>
    <t>699252-7</t>
  </si>
  <si>
    <t>698740-0</t>
  </si>
  <si>
    <t>696528-6</t>
  </si>
  <si>
    <t>Instalación-Desinstalación</t>
  </si>
  <si>
    <t>696527-7</t>
  </si>
  <si>
    <t>794GRLD</t>
  </si>
  <si>
    <t>696526-8</t>
  </si>
  <si>
    <t>79056M0</t>
  </si>
  <si>
    <t>696525-9</t>
  </si>
  <si>
    <t>7946KNN</t>
  </si>
  <si>
    <t>696524-0</t>
  </si>
  <si>
    <t>7954HVX</t>
  </si>
  <si>
    <t>706568-0</t>
  </si>
  <si>
    <t>706160-2</t>
  </si>
  <si>
    <t>Nación Servicios SA</t>
  </si>
  <si>
    <t>Catamarca - Calle Mate de Luna 568</t>
  </si>
  <si>
    <t>076UBJFH10009QK</t>
  </si>
  <si>
    <t>706159-6</t>
  </si>
  <si>
    <t>076UBJFH10003GV</t>
  </si>
  <si>
    <t>703856-1</t>
  </si>
  <si>
    <t>701419-0</t>
  </si>
  <si>
    <t>711400-1</t>
  </si>
  <si>
    <t>Banco Santander Río</t>
  </si>
  <si>
    <t>264 - CATAMARCA</t>
  </si>
  <si>
    <t>076UBJFG80004WR</t>
  </si>
  <si>
    <t>711399-6</t>
  </si>
  <si>
    <t>076UBJFG80004FM</t>
  </si>
  <si>
    <t>708990-9</t>
  </si>
  <si>
    <t>Aerolineas Argentinas</t>
  </si>
  <si>
    <t>AEROPUERTO CATAMARCA</t>
  </si>
  <si>
    <t>ZELLBJEK30002RW</t>
  </si>
  <si>
    <t>708989-3</t>
  </si>
  <si>
    <t>ZDBXB8GK1F005EX</t>
  </si>
  <si>
    <t>708988-4</t>
  </si>
  <si>
    <t>ZDBXB8GK1F005DW</t>
  </si>
  <si>
    <t>708987-5</t>
  </si>
  <si>
    <t>ZDBXB8GJ7A004LT</t>
  </si>
  <si>
    <t>708380-8</t>
  </si>
  <si>
    <t>708379-2</t>
  </si>
  <si>
    <t>708378-3</t>
  </si>
  <si>
    <t>708377-4</t>
  </si>
  <si>
    <t>708376-5</t>
  </si>
  <si>
    <t>708375-6</t>
  </si>
  <si>
    <t>708374-7</t>
  </si>
  <si>
    <t>708373-8</t>
  </si>
  <si>
    <t>708372-9</t>
  </si>
  <si>
    <t>708371-0</t>
  </si>
  <si>
    <t>708370-1</t>
  </si>
  <si>
    <t>707706-5</t>
  </si>
  <si>
    <t>ZDBXB8GK1F00HAA</t>
  </si>
  <si>
    <t>705679-8</t>
  </si>
  <si>
    <t>713906-4</t>
  </si>
  <si>
    <t>ZDBXBJCH2000Y2N</t>
  </si>
  <si>
    <t>713905-5</t>
  </si>
  <si>
    <t>ZDBXBJCFA0002ZF</t>
  </si>
  <si>
    <t>713904-6</t>
  </si>
  <si>
    <t>ZDBXBJBF10004NJ</t>
  </si>
  <si>
    <t>700600-3</t>
  </si>
  <si>
    <t>Citrusvil S.A.</t>
  </si>
  <si>
    <t>Frías</t>
  </si>
  <si>
    <t>ZDBHBJEJ500030P</t>
  </si>
  <si>
    <t>715721-9</t>
  </si>
  <si>
    <t>720348-4</t>
  </si>
  <si>
    <t>720347-5</t>
  </si>
  <si>
    <t>720346-6</t>
  </si>
  <si>
    <t>720344-8</t>
  </si>
  <si>
    <t>720343-9</t>
  </si>
  <si>
    <t>720340-2</t>
  </si>
  <si>
    <t>718237-6</t>
  </si>
  <si>
    <t>718213-6</t>
  </si>
  <si>
    <t>717305-9</t>
  </si>
  <si>
    <t>718238-5</t>
  </si>
  <si>
    <t>689320-8</t>
  </si>
  <si>
    <t>CEDI La Rioja  Oficinas Comerciales</t>
  </si>
  <si>
    <t>BRBSN9YYTT</t>
  </si>
  <si>
    <t>669134-5</t>
  </si>
  <si>
    <t>COSTO VIEJO</t>
  </si>
  <si>
    <t>725104-7</t>
  </si>
  <si>
    <t>724690-2</t>
  </si>
  <si>
    <t>730573-7</t>
  </si>
  <si>
    <t>727628-6</t>
  </si>
  <si>
    <t>727396-0</t>
  </si>
  <si>
    <t>727395-1</t>
  </si>
  <si>
    <t>724087-4</t>
  </si>
  <si>
    <t>CNP82AN91R</t>
  </si>
  <si>
    <t>733098-2</t>
  </si>
  <si>
    <t>732694-3</t>
  </si>
  <si>
    <t>732155-9</t>
  </si>
  <si>
    <t>735343-3</t>
  </si>
  <si>
    <t>734614-1</t>
  </si>
  <si>
    <t>737798-3</t>
  </si>
  <si>
    <t>ZDBXBJAG80009KL</t>
  </si>
  <si>
    <t>737456-0</t>
  </si>
  <si>
    <t>737430-2</t>
  </si>
  <si>
    <t>740680-5</t>
  </si>
  <si>
    <t>EFECTIVO SI - Catamarca</t>
  </si>
  <si>
    <t>738994-2</t>
  </si>
  <si>
    <t>738993-3</t>
  </si>
  <si>
    <t>738992-4</t>
  </si>
  <si>
    <t>731504-4</t>
  </si>
  <si>
    <t>742427-2</t>
  </si>
  <si>
    <t>741411-4</t>
  </si>
  <si>
    <t>741410-5</t>
  </si>
  <si>
    <t>741409-9</t>
  </si>
  <si>
    <t>741408-0</t>
  </si>
  <si>
    <t>741407-1</t>
  </si>
  <si>
    <t>741406-2</t>
  </si>
  <si>
    <t>741405-3</t>
  </si>
  <si>
    <t>720341-1</t>
  </si>
  <si>
    <t>745601-3</t>
  </si>
  <si>
    <t>745429-1</t>
  </si>
  <si>
    <t>745428-2</t>
  </si>
  <si>
    <t>745407-9</t>
  </si>
  <si>
    <t>749162-7</t>
  </si>
  <si>
    <t>747521-2</t>
  </si>
  <si>
    <t>746415-5</t>
  </si>
  <si>
    <t>752004-4</t>
  </si>
  <si>
    <t>751973-8</t>
  </si>
  <si>
    <t>756401-1</t>
  </si>
  <si>
    <t>756400-2</t>
  </si>
  <si>
    <t>756398-8</t>
  </si>
  <si>
    <t>756330-4</t>
  </si>
  <si>
    <t>756328-9</t>
  </si>
  <si>
    <t>756327-0</t>
  </si>
  <si>
    <t>8W91B1BZ800094B</t>
  </si>
  <si>
    <t>756326-1</t>
  </si>
  <si>
    <t>792FNTT</t>
  </si>
  <si>
    <t>756325-2</t>
  </si>
  <si>
    <t>756324-3</t>
  </si>
  <si>
    <t>756213-8</t>
  </si>
  <si>
    <t>ZDBXBJCH20000MZ</t>
  </si>
  <si>
    <t>756212-9</t>
  </si>
  <si>
    <t>756049-5</t>
  </si>
  <si>
    <t>756040-4</t>
  </si>
  <si>
    <t>Recreo</t>
  </si>
  <si>
    <t>BRBSN9YYQN</t>
  </si>
  <si>
    <t>755983-3</t>
  </si>
  <si>
    <t>755982-4</t>
  </si>
  <si>
    <t>755981-5</t>
  </si>
  <si>
    <t>755980-6</t>
  </si>
  <si>
    <t>755979-0</t>
  </si>
  <si>
    <t>755978-1</t>
  </si>
  <si>
    <t>755977-2</t>
  </si>
  <si>
    <t>755976-3</t>
  </si>
  <si>
    <t>755975-4</t>
  </si>
  <si>
    <t>755974-5</t>
  </si>
  <si>
    <t>BRBSN9YYJM</t>
  </si>
  <si>
    <t>755410-2</t>
  </si>
  <si>
    <t>753093-5</t>
  </si>
  <si>
    <t>760738-9</t>
  </si>
  <si>
    <t>741601-5</t>
  </si>
  <si>
    <t>765748-1</t>
  </si>
  <si>
    <t>ZDBXB8GK1F00EBB</t>
  </si>
  <si>
    <t>765747-2</t>
  </si>
  <si>
    <t>076UBJFH10009VX</t>
  </si>
  <si>
    <t>765745-4</t>
  </si>
  <si>
    <t>765387-4</t>
  </si>
  <si>
    <t>765311-1</t>
  </si>
  <si>
    <t>765310-2</t>
  </si>
  <si>
    <t>765309-6</t>
  </si>
  <si>
    <t>764900-2</t>
  </si>
  <si>
    <t>764899-7</t>
  </si>
  <si>
    <t>764898-8</t>
  </si>
  <si>
    <t>764897-9</t>
  </si>
  <si>
    <t>764896-0</t>
  </si>
  <si>
    <t>764895-1</t>
  </si>
  <si>
    <t>764894-2</t>
  </si>
  <si>
    <t>764893-3</t>
  </si>
  <si>
    <t>764892-4</t>
  </si>
  <si>
    <t>764891-5</t>
  </si>
  <si>
    <t>764890-6</t>
  </si>
  <si>
    <t>764889-0</t>
  </si>
  <si>
    <t>764883-6</t>
  </si>
  <si>
    <t>764882-7</t>
  </si>
  <si>
    <t>764253-1</t>
  </si>
  <si>
    <t>767304-5</t>
  </si>
  <si>
    <t>767302-7</t>
  </si>
  <si>
    <t>774072-7</t>
  </si>
  <si>
    <t>774071-8</t>
  </si>
  <si>
    <t>774070-9</t>
  </si>
  <si>
    <t>774069-3</t>
  </si>
  <si>
    <t>774068-4</t>
  </si>
  <si>
    <t>774067-5</t>
  </si>
  <si>
    <t>774066-6</t>
  </si>
  <si>
    <t>774065-7</t>
  </si>
  <si>
    <t>774064-8</t>
  </si>
  <si>
    <t>774062-0</t>
  </si>
  <si>
    <t>774061-1</t>
  </si>
  <si>
    <t>773096-0</t>
  </si>
  <si>
    <t>776988-3</t>
  </si>
  <si>
    <t>CNB1R4C0KC</t>
  </si>
  <si>
    <t>776987-4</t>
  </si>
  <si>
    <t>ZDBXBJCH2000DJE</t>
  </si>
  <si>
    <t>776986-5</t>
  </si>
  <si>
    <t>ZDBXBJCH1000KVA</t>
  </si>
  <si>
    <t>776985-6</t>
  </si>
  <si>
    <t>ZDBXBJCH1000K9A</t>
  </si>
  <si>
    <t>774541-2</t>
  </si>
  <si>
    <t>774540-3</t>
  </si>
  <si>
    <t>774539-7</t>
  </si>
  <si>
    <t>774461-7</t>
  </si>
  <si>
    <t>774842-8</t>
  </si>
  <si>
    <t>Pre-Correctivo</t>
  </si>
  <si>
    <t>779452-4</t>
  </si>
  <si>
    <t>784046-1</t>
  </si>
  <si>
    <t>796138-4</t>
  </si>
  <si>
    <t>796137-5</t>
  </si>
  <si>
    <t>796136-6</t>
  </si>
  <si>
    <t>795830-8</t>
  </si>
  <si>
    <t>7954HRD</t>
  </si>
  <si>
    <t>793270-8</t>
  </si>
  <si>
    <t>792725-6</t>
  </si>
  <si>
    <t>792724-7</t>
  </si>
  <si>
    <t>792722-9</t>
  </si>
  <si>
    <t>792721-0</t>
  </si>
  <si>
    <t>792720-1</t>
  </si>
  <si>
    <t>792719-5</t>
  </si>
  <si>
    <t>792718-6</t>
  </si>
  <si>
    <t>792717-7</t>
  </si>
  <si>
    <t>792716-8</t>
  </si>
  <si>
    <t>792714-0</t>
  </si>
  <si>
    <t>792713-1</t>
  </si>
  <si>
    <t>792710-4</t>
  </si>
  <si>
    <t>792709-8</t>
  </si>
  <si>
    <t>792707-0</t>
  </si>
  <si>
    <t>788010-4</t>
  </si>
  <si>
    <t>797726-0</t>
  </si>
  <si>
    <t>797725-1</t>
  </si>
  <si>
    <t>797724-2</t>
  </si>
  <si>
    <t>797723-3</t>
  </si>
  <si>
    <t>797487-4</t>
  </si>
  <si>
    <t>797486-5</t>
  </si>
  <si>
    <t>BRBSN9YYHQ</t>
  </si>
  <si>
    <t>797206-1</t>
  </si>
  <si>
    <t>792151-7</t>
  </si>
  <si>
    <t>803159-2</t>
  </si>
  <si>
    <t>801531-8</t>
  </si>
  <si>
    <t>801189-9</t>
  </si>
  <si>
    <t>801055-3</t>
  </si>
  <si>
    <t>800133-3</t>
  </si>
  <si>
    <t>806640-0</t>
  </si>
  <si>
    <t>806538-6</t>
  </si>
  <si>
    <t>801785-7</t>
  </si>
  <si>
    <t>807935-2</t>
  </si>
  <si>
    <t>810556-9</t>
  </si>
  <si>
    <t>802571-3</t>
  </si>
  <si>
    <t>791632-0</t>
  </si>
  <si>
    <t>791631-1</t>
  </si>
  <si>
    <t>788987-7</t>
  </si>
  <si>
    <t>Remanente</t>
  </si>
  <si>
    <t>815351-1</t>
  </si>
  <si>
    <t>815347-8</t>
  </si>
  <si>
    <t>BRBSSD80R4</t>
  </si>
  <si>
    <t>815202-6</t>
  </si>
  <si>
    <t>815193-9</t>
  </si>
  <si>
    <t>815192-0</t>
  </si>
  <si>
    <t>815191-1</t>
  </si>
  <si>
    <t>815190-2</t>
  </si>
  <si>
    <t>815189-6</t>
  </si>
  <si>
    <t>814983-7</t>
  </si>
  <si>
    <t>814271-9</t>
  </si>
  <si>
    <t>BRBSP4T02L</t>
  </si>
  <si>
    <t>814152-5</t>
  </si>
  <si>
    <t>814136-7</t>
  </si>
  <si>
    <t>792711-3</t>
  </si>
  <si>
    <t>BRBSN9YYPL</t>
  </si>
  <si>
    <t>819829-5</t>
  </si>
  <si>
    <t>818509-7</t>
  </si>
  <si>
    <t>818507-9</t>
  </si>
  <si>
    <t>818019-9</t>
  </si>
  <si>
    <t>817799-1</t>
  </si>
  <si>
    <t>817777-9</t>
  </si>
  <si>
    <t>817776-0</t>
  </si>
  <si>
    <t>816916-9</t>
  </si>
  <si>
    <t>815352-0</t>
  </si>
  <si>
    <t>815350-2</t>
  </si>
  <si>
    <t>815349-6</t>
  </si>
  <si>
    <t>BRBSTB70G4</t>
  </si>
  <si>
    <t>815348-7</t>
  </si>
  <si>
    <t>BRBSTB708P</t>
  </si>
  <si>
    <t>819831-0</t>
  </si>
  <si>
    <t>818915-4</t>
  </si>
  <si>
    <t>818914-5</t>
  </si>
  <si>
    <t>822639-4</t>
  </si>
  <si>
    <t>830132-1</t>
  </si>
  <si>
    <t>794955N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</si>
</sst>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[$$-2C0A]\ #,##0.00"/>
    <numFmt numFmtId="167" formatCode="&quot;$&quot;\ #,##0.00"/>
    <numFmt numFmtId="168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1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54">
    <xf numFmtId="0" fontId="0" fillId="0" borderId="0" xfId="0"/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5" fontId="18" fillId="34" borderId="10" xfId="1" applyNumberFormat="1" applyFont="1" applyFill="1" applyBorder="1" applyAlignment="1">
      <alignment horizontal="left"/>
    </xf>
    <xf numFmtId="0" fontId="18" fillId="33" borderId="25" xfId="0" applyFont="1" applyFill="1" applyBorder="1" applyAlignment="1">
      <alignment horizontal="center"/>
    </xf>
    <xf numFmtId="0" fontId="18" fillId="33" borderId="26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left"/>
    </xf>
    <xf numFmtId="0" fontId="18" fillId="34" borderId="16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7" xfId="0" applyFont="1" applyFill="1" applyBorder="1" applyAlignment="1">
      <alignment horizontal="center"/>
    </xf>
    <xf numFmtId="0" fontId="20" fillId="0" borderId="0" xfId="0" applyFont="1"/>
    <xf numFmtId="0" fontId="21" fillId="0" borderId="38" xfId="0" applyFont="1" applyBorder="1"/>
    <xf numFmtId="0" fontId="21" fillId="0" borderId="39" xfId="0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0" fillId="0" borderId="44" xfId="0" applyBorder="1"/>
    <xf numFmtId="0" fontId="0" fillId="0" borderId="45" xfId="0" applyBorder="1"/>
    <xf numFmtId="0" fontId="20" fillId="0" borderId="0" xfId="0" applyFont="1" applyAlignment="1">
      <alignment horizontal="left"/>
    </xf>
    <xf numFmtId="0" fontId="21" fillId="0" borderId="39" xfId="0" applyFont="1" applyBorder="1" applyAlignment="1">
      <alignment horizontal="left"/>
    </xf>
    <xf numFmtId="0" fontId="0" fillId="0" borderId="45" xfId="0" applyBorder="1" applyAlignment="1">
      <alignment horizontal="left"/>
    </xf>
    <xf numFmtId="0" fontId="20" fillId="0" borderId="0" xfId="0" applyFont="1" applyAlignment="1">
      <alignment horizontal="right"/>
    </xf>
    <xf numFmtId="0" fontId="21" fillId="0" borderId="40" xfId="0" applyFont="1" applyBorder="1" applyAlignment="1">
      <alignment horizontal="right"/>
    </xf>
    <xf numFmtId="166" fontId="21" fillId="0" borderId="20" xfId="0" applyNumberFormat="1" applyFont="1" applyBorder="1" applyAlignment="1">
      <alignment horizontal="right"/>
    </xf>
    <xf numFmtId="166" fontId="21" fillId="0" borderId="0" xfId="0" applyNumberFormat="1" applyFont="1" applyAlignment="1">
      <alignment horizontal="right"/>
    </xf>
    <xf numFmtId="0" fontId="0" fillId="0" borderId="46" xfId="0" applyBorder="1" applyAlignment="1">
      <alignment horizontal="right"/>
    </xf>
    <xf numFmtId="166" fontId="21" fillId="0" borderId="49" xfId="0" applyNumberFormat="1" applyFont="1" applyBorder="1" applyAlignment="1">
      <alignment horizontal="right"/>
    </xf>
    <xf numFmtId="166" fontId="20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horizontal="right"/>
    </xf>
    <xf numFmtId="0" fontId="21" fillId="0" borderId="39" xfId="0" applyFont="1" applyBorder="1" applyAlignment="1">
      <alignment horizontal="right"/>
    </xf>
    <xf numFmtId="166" fontId="21" fillId="0" borderId="39" xfId="0" applyNumberFormat="1" applyFont="1" applyBorder="1" applyAlignment="1">
      <alignment horizontal="right"/>
    </xf>
    <xf numFmtId="168" fontId="21" fillId="0" borderId="39" xfId="0" applyNumberFormat="1" applyFont="1" applyBorder="1" applyAlignment="1">
      <alignment horizontal="right"/>
    </xf>
    <xf numFmtId="0" fontId="21" fillId="0" borderId="18" xfId="0" applyFont="1" applyBorder="1" applyAlignment="1">
      <alignment horizontal="right"/>
    </xf>
    <xf numFmtId="166" fontId="21" fillId="0" borderId="19" xfId="0" applyNumberFormat="1" applyFont="1" applyBorder="1" applyAlignment="1">
      <alignment horizontal="right"/>
    </xf>
    <xf numFmtId="168" fontId="21" fillId="0" borderId="19" xfId="0" applyNumberFormat="1" applyFont="1" applyBorder="1" applyAlignment="1">
      <alignment horizontal="right"/>
    </xf>
    <xf numFmtId="0" fontId="21" fillId="0" borderId="0" xfId="0" applyFont="1" applyAlignment="1">
      <alignment horizontal="right"/>
    </xf>
    <xf numFmtId="168" fontId="21" fillId="0" borderId="0" xfId="0" applyNumberFormat="1" applyFont="1" applyAlignment="1">
      <alignment horizontal="right"/>
    </xf>
    <xf numFmtId="0" fontId="0" fillId="0" borderId="45" xfId="0" applyBorder="1" applyAlignment="1">
      <alignment horizontal="right"/>
    </xf>
    <xf numFmtId="166" fontId="20" fillId="0" borderId="45" xfId="0" applyNumberFormat="1" applyFont="1" applyBorder="1" applyAlignment="1">
      <alignment horizontal="right"/>
    </xf>
    <xf numFmtId="0" fontId="20" fillId="0" borderId="45" xfId="0" applyFont="1" applyBorder="1" applyAlignment="1">
      <alignment horizontal="right"/>
    </xf>
    <xf numFmtId="168" fontId="20" fillId="0" borderId="45" xfId="0" applyNumberFormat="1" applyFont="1" applyBorder="1" applyAlignment="1">
      <alignment horizontal="right"/>
    </xf>
    <xf numFmtId="0" fontId="21" fillId="0" borderId="50" xfId="0" applyFont="1" applyBorder="1" applyAlignment="1">
      <alignment horizontal="right"/>
    </xf>
    <xf numFmtId="166" fontId="21" fillId="0" borderId="51" xfId="0" applyNumberFormat="1" applyFont="1" applyBorder="1" applyAlignment="1">
      <alignment horizontal="right"/>
    </xf>
    <xf numFmtId="0" fontId="21" fillId="0" borderId="49" xfId="0" applyFont="1" applyBorder="1" applyAlignment="1">
      <alignment horizontal="right"/>
    </xf>
    <xf numFmtId="0" fontId="21" fillId="0" borderId="49" xfId="0" applyFont="1" applyBorder="1" applyAlignment="1">
      <alignment horizontal="left"/>
    </xf>
    <xf numFmtId="168" fontId="21" fillId="0" borderId="52" xfId="0" applyNumberFormat="1" applyFont="1" applyBorder="1" applyAlignment="1">
      <alignment horizontal="right"/>
    </xf>
    <xf numFmtId="167" fontId="0" fillId="0" borderId="0" xfId="0" applyNumberFormat="1"/>
    <xf numFmtId="0" fontId="0" fillId="0" borderId="10" xfId="0" applyBorder="1"/>
    <xf numFmtId="167" fontId="0" fillId="0" borderId="10" xfId="0" applyNumberFormat="1" applyBorder="1"/>
    <xf numFmtId="0" fontId="0" fillId="35" borderId="10" xfId="0" applyFill="1" applyBorder="1"/>
    <xf numFmtId="167" fontId="0" fillId="35" borderId="10" xfId="0" applyNumberFormat="1" applyFill="1" applyBorder="1"/>
    <xf numFmtId="0" fontId="14" fillId="0" borderId="10" xfId="0" applyFont="1" applyBorder="1"/>
    <xf numFmtId="167" fontId="14" fillId="0" borderId="10" xfId="0" applyNumberFormat="1" applyFont="1" applyBorder="1"/>
    <xf numFmtId="0" fontId="14" fillId="35" borderId="10" xfId="0" applyFont="1" applyFill="1" applyBorder="1"/>
    <xf numFmtId="167" fontId="14" fillId="35" borderId="10" xfId="0" applyNumberFormat="1" applyFont="1" applyFill="1" applyBorder="1"/>
    <xf numFmtId="0" fontId="0" fillId="0" borderId="11" xfId="0" applyBorder="1"/>
    <xf numFmtId="0" fontId="0" fillId="0" borderId="12" xfId="0" applyBorder="1"/>
    <xf numFmtId="167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1" xfId="0" applyBorder="1"/>
    <xf numFmtId="0" fontId="0" fillId="0" borderId="42" xfId="0" applyBorder="1"/>
    <xf numFmtId="167" fontId="0" fillId="0" borderId="42" xfId="0" applyNumberFormat="1" applyBorder="1"/>
    <xf numFmtId="0" fontId="0" fillId="0" borderId="43" xfId="0" applyBorder="1"/>
    <xf numFmtId="0" fontId="0" fillId="35" borderId="11" xfId="0" applyFill="1" applyBorder="1"/>
    <xf numFmtId="0" fontId="0" fillId="35" borderId="12" xfId="0" applyFill="1" applyBorder="1"/>
    <xf numFmtId="167" fontId="0" fillId="35" borderId="12" xfId="0" applyNumberFormat="1" applyFill="1" applyBorder="1"/>
    <xf numFmtId="0" fontId="0" fillId="35" borderId="13" xfId="0" applyFill="1" applyBorder="1"/>
    <xf numFmtId="0" fontId="0" fillId="35" borderId="14" xfId="0" applyFill="1" applyBorder="1"/>
    <xf numFmtId="0" fontId="0" fillId="35" borderId="15" xfId="0" applyFill="1" applyBorder="1"/>
    <xf numFmtId="0" fontId="14" fillId="0" borderId="14" xfId="0" applyFont="1" applyBorder="1"/>
    <xf numFmtId="0" fontId="14" fillId="0" borderId="15" xfId="0" applyFont="1" applyBorder="1"/>
    <xf numFmtId="0" fontId="14" fillId="35" borderId="14" xfId="0" applyFont="1" applyFill="1" applyBorder="1"/>
    <xf numFmtId="0" fontId="14" fillId="35" borderId="15" xfId="0" applyFont="1" applyFill="1" applyBorder="1"/>
    <xf numFmtId="0" fontId="14" fillId="35" borderId="41" xfId="0" applyFont="1" applyFill="1" applyBorder="1"/>
    <xf numFmtId="0" fontId="14" fillId="35" borderId="42" xfId="0" applyFont="1" applyFill="1" applyBorder="1"/>
    <xf numFmtId="167" fontId="14" fillId="35" borderId="42" xfId="0" applyNumberFormat="1" applyFont="1" applyFill="1" applyBorder="1"/>
    <xf numFmtId="0" fontId="14" fillId="35" borderId="43" xfId="0" applyFont="1" applyFill="1" applyBorder="1"/>
    <xf numFmtId="0" fontId="0" fillId="0" borderId="0" xfId="0" applyAlignment="1">
      <alignment horizontal="left"/>
    </xf>
    <xf numFmtId="0" fontId="0" fillId="35" borderId="12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35" borderId="10" xfId="0" applyFont="1" applyFill="1" applyBorder="1" applyAlignment="1">
      <alignment horizontal="left"/>
    </xf>
    <xf numFmtId="0" fontId="14" fillId="35" borderId="42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0" fontId="0" fillId="0" borderId="53" xfId="0" applyBorder="1"/>
    <xf numFmtId="167" fontId="0" fillId="0" borderId="45" xfId="0" applyNumberFormat="1" applyBorder="1"/>
    <xf numFmtId="0" fontId="0" fillId="0" borderId="46" xfId="0" applyBorder="1"/>
    <xf numFmtId="0" fontId="0" fillId="0" borderId="54" xfId="0" applyBorder="1"/>
    <xf numFmtId="0" fontId="0" fillId="0" borderId="55" xfId="0" applyBorder="1"/>
    <xf numFmtId="0" fontId="0" fillId="0" borderId="55" xfId="0" applyBorder="1" applyAlignment="1">
      <alignment horizontal="left"/>
    </xf>
    <xf numFmtId="167" fontId="0" fillId="0" borderId="55" xfId="0" applyNumberFormat="1" applyBorder="1"/>
    <xf numFmtId="0" fontId="0" fillId="0" borderId="56" xfId="0" applyBorder="1"/>
    <xf numFmtId="0" fontId="0" fillId="0" borderId="50" xfId="0" applyBorder="1"/>
    <xf numFmtId="0" fontId="0" fillId="0" borderId="51" xfId="0" applyBorder="1"/>
    <xf numFmtId="0" fontId="0" fillId="0" borderId="51" xfId="0" applyBorder="1" applyAlignment="1">
      <alignment horizontal="left"/>
    </xf>
    <xf numFmtId="167" fontId="0" fillId="0" borderId="51" xfId="0" applyNumberFormat="1" applyBorder="1"/>
    <xf numFmtId="0" fontId="0" fillId="0" borderId="57" xfId="0" applyBorder="1"/>
    <xf numFmtId="0" fontId="0" fillId="0" borderId="22" xfId="0" applyBorder="1"/>
    <xf numFmtId="0" fontId="21" fillId="0" borderId="21" xfId="0" applyFont="1" applyBorder="1" applyAlignment="1">
      <alignment horizontal="right"/>
    </xf>
    <xf numFmtId="0" fontId="0" fillId="0" borderId="38" xfId="0" applyBorder="1"/>
    <xf numFmtId="0" fontId="0" fillId="0" borderId="39" xfId="0" applyBorder="1"/>
    <xf numFmtId="0" fontId="0" fillId="0" borderId="39" xfId="0" applyBorder="1" applyAlignment="1">
      <alignment horizontal="left"/>
    </xf>
    <xf numFmtId="167" fontId="0" fillId="0" borderId="39" xfId="0" applyNumberFormat="1" applyBorder="1"/>
    <xf numFmtId="0" fontId="0" fillId="0" borderId="40" xfId="0" applyBorder="1"/>
    <xf numFmtId="0" fontId="0" fillId="36" borderId="11" xfId="0" applyFill="1" applyBorder="1"/>
    <xf numFmtId="0" fontId="0" fillId="36" borderId="12" xfId="0" applyFill="1" applyBorder="1"/>
    <xf numFmtId="0" fontId="0" fillId="36" borderId="12" xfId="0" applyFill="1" applyBorder="1" applyAlignment="1">
      <alignment horizontal="left"/>
    </xf>
    <xf numFmtId="167" fontId="0" fillId="36" borderId="12" xfId="0" applyNumberFormat="1" applyFill="1" applyBorder="1"/>
    <xf numFmtId="0" fontId="0" fillId="36" borderId="13" xfId="0" applyFill="1" applyBorder="1"/>
    <xf numFmtId="0" fontId="0" fillId="37" borderId="14" xfId="0" applyFill="1" applyBorder="1"/>
    <xf numFmtId="0" fontId="0" fillId="37" borderId="10" xfId="0" applyFill="1" applyBorder="1"/>
    <xf numFmtId="0" fontId="0" fillId="37" borderId="10" xfId="0" applyFill="1" applyBorder="1" applyAlignment="1">
      <alignment horizontal="left"/>
    </xf>
    <xf numFmtId="167" fontId="0" fillId="37" borderId="10" xfId="0" applyNumberFormat="1" applyFill="1" applyBorder="1"/>
    <xf numFmtId="0" fontId="0" fillId="37" borderId="15" xfId="0" applyFill="1" applyBorder="1"/>
    <xf numFmtId="0" fontId="0" fillId="37" borderId="11" xfId="0" applyFill="1" applyBorder="1"/>
    <xf numFmtId="0" fontId="0" fillId="37" borderId="12" xfId="0" applyFill="1" applyBorder="1"/>
    <xf numFmtId="0" fontId="0" fillId="37" borderId="12" xfId="0" applyFill="1" applyBorder="1" applyAlignment="1">
      <alignment horizontal="left"/>
    </xf>
    <xf numFmtId="167" fontId="0" fillId="37" borderId="12" xfId="0" applyNumberFormat="1" applyFill="1" applyBorder="1"/>
    <xf numFmtId="0" fontId="0" fillId="37" borderId="13" xfId="0" applyFill="1" applyBorder="1"/>
    <xf numFmtId="166" fontId="0" fillId="0" borderId="10" xfId="0" applyNumberFormat="1" applyBorder="1"/>
    <xf numFmtId="166" fontId="0" fillId="0" borderId="42" xfId="0" applyNumberFormat="1" applyBorder="1"/>
    <xf numFmtId="166" fontId="0" fillId="0" borderId="55" xfId="0" applyNumberFormat="1" applyBorder="1"/>
    <xf numFmtId="166" fontId="0" fillId="0" borderId="15" xfId="0" applyNumberFormat="1" applyBorder="1"/>
    <xf numFmtId="166" fontId="0" fillId="0" borderId="43" xfId="0" applyNumberFormat="1" applyBorder="1"/>
    <xf numFmtId="166" fontId="0" fillId="0" borderId="56" xfId="0" applyNumberFormat="1" applyBorder="1"/>
    <xf numFmtId="0" fontId="14" fillId="0" borderId="42" xfId="0" applyFont="1" applyBorder="1"/>
    <xf numFmtId="167" fontId="14" fillId="0" borderId="42" xfId="0" applyNumberFormat="1" applyFont="1" applyBorder="1"/>
    <xf numFmtId="166" fontId="16" fillId="0" borderId="49" xfId="0" applyNumberFormat="1" applyFont="1" applyBorder="1"/>
    <xf numFmtId="165" fontId="18" fillId="34" borderId="24" xfId="1" applyNumberFormat="1" applyFont="1" applyFill="1" applyBorder="1" applyAlignment="1">
      <alignment horizontal="center"/>
    </xf>
    <xf numFmtId="165" fontId="18" fillId="34" borderId="36" xfId="1" applyNumberFormat="1" applyFont="1" applyFill="1" applyBorder="1" applyAlignment="1">
      <alignment horizontal="center"/>
    </xf>
    <xf numFmtId="165" fontId="18" fillId="33" borderId="28" xfId="0" applyNumberFormat="1" applyFont="1" applyFill="1" applyBorder="1" applyAlignment="1">
      <alignment horizontal="center"/>
    </xf>
    <xf numFmtId="165" fontId="18" fillId="33" borderId="29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47" xfId="0" applyFont="1" applyFill="1" applyBorder="1" applyAlignment="1">
      <alignment horizontal="center"/>
    </xf>
    <xf numFmtId="0" fontId="18" fillId="34" borderId="48" xfId="0" applyFont="1" applyFill="1" applyBorder="1" applyAlignment="1">
      <alignment horizont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18" fillId="34" borderId="34" xfId="0" applyFont="1" applyFill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0" fillId="0" borderId="0" xfId="0"/>
  </cellXfs>
  <cellStyles count="51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5" xr:uid="{00000000-0005-0000-0000-00000D000000}"/>
    <cellStyle name="60% - Énfasis2" xfId="26" builtinId="36" customBuiltin="1"/>
    <cellStyle name="60% - Énfasis2 2" xfId="46" xr:uid="{00000000-0005-0000-0000-00000F000000}"/>
    <cellStyle name="60% - Énfasis3" xfId="30" builtinId="40" customBuiltin="1"/>
    <cellStyle name="60% - Énfasis3 2" xfId="47" xr:uid="{00000000-0005-0000-0000-000011000000}"/>
    <cellStyle name="60% - Énfasis4" xfId="34" builtinId="44" customBuiltin="1"/>
    <cellStyle name="60% - Énfasis4 2" xfId="48" xr:uid="{00000000-0005-0000-0000-000013000000}"/>
    <cellStyle name="60% - Énfasis5" xfId="38" builtinId="48" customBuiltin="1"/>
    <cellStyle name="60% - Énfasis5 2" xfId="49" xr:uid="{00000000-0005-0000-0000-000015000000}"/>
    <cellStyle name="60% - Énfasis6" xfId="42" builtinId="52" customBuiltin="1"/>
    <cellStyle name="60% - Énfasis6 2" xfId="50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eutral 2" xfId="44" xr:uid="{00000000-0005-0000-0000-000028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3" xr:uid="{00000000-0005-0000-0000-000031000000}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38992-4" TargetMode="External"/><Relationship Id="rId21" Type="http://schemas.openxmlformats.org/officeDocument/2006/relationships/hyperlink" Target="https://webagentes.canaldirecto.com.ar/incidents/view/668618-5" TargetMode="External"/><Relationship Id="rId42" Type="http://schemas.openxmlformats.org/officeDocument/2006/relationships/hyperlink" Target="https://webagentes.canaldirecto.com.ar/incidents/view/706159-6" TargetMode="External"/><Relationship Id="rId63" Type="http://schemas.openxmlformats.org/officeDocument/2006/relationships/hyperlink" Target="https://webagentes.canaldirecto.com.ar/liquidations/removeIncident/708378-3" TargetMode="External"/><Relationship Id="rId84" Type="http://schemas.openxmlformats.org/officeDocument/2006/relationships/hyperlink" Target="https://webagentes.canaldirecto.com.ar/incidents/view/713906-4" TargetMode="External"/><Relationship Id="rId138" Type="http://schemas.openxmlformats.org/officeDocument/2006/relationships/hyperlink" Target="https://webagentes.canaldirecto.com.ar/incidents/view/756398-8" TargetMode="External"/><Relationship Id="rId159" Type="http://schemas.openxmlformats.org/officeDocument/2006/relationships/hyperlink" Target="https://webagentes.canaldirecto.com.ar/incidents/view/755410-2" TargetMode="External"/><Relationship Id="rId170" Type="http://schemas.openxmlformats.org/officeDocument/2006/relationships/hyperlink" Target="https://webagentes.canaldirecto.com.ar/incidents/view/764899-7" TargetMode="External"/><Relationship Id="rId191" Type="http://schemas.openxmlformats.org/officeDocument/2006/relationships/hyperlink" Target="https://webagentes.canaldirecto.com.ar/incidents/view/774065-7" TargetMode="External"/><Relationship Id="rId205" Type="http://schemas.openxmlformats.org/officeDocument/2006/relationships/hyperlink" Target="https://webagentes.canaldirecto.com.ar/incidents/view/796137-5" TargetMode="External"/><Relationship Id="rId226" Type="http://schemas.openxmlformats.org/officeDocument/2006/relationships/hyperlink" Target="https://webagentes.canaldirecto.com.ar/liquidations/removeIncident/797725-1" TargetMode="External"/><Relationship Id="rId247" Type="http://schemas.openxmlformats.org/officeDocument/2006/relationships/hyperlink" Target="https://webagentes.canaldirecto.com.ar/incidents/view/806538-6" TargetMode="External"/><Relationship Id="rId107" Type="http://schemas.openxmlformats.org/officeDocument/2006/relationships/hyperlink" Target="https://webagentes.canaldirecto.com.ar/incidents/view/732694-3" TargetMode="External"/><Relationship Id="rId11" Type="http://schemas.openxmlformats.org/officeDocument/2006/relationships/hyperlink" Target="https://webagentes.canaldirecto.com.ar/incidents/view/678546-8" TargetMode="External"/><Relationship Id="rId32" Type="http://schemas.openxmlformats.org/officeDocument/2006/relationships/hyperlink" Target="https://webagentes.canaldirecto.com.ar/incidents/view/693672-5" TargetMode="External"/><Relationship Id="rId53" Type="http://schemas.openxmlformats.org/officeDocument/2006/relationships/hyperlink" Target="https://webagentes.canaldirecto.com.ar/liquidations/removeIncident/708989-3" TargetMode="External"/><Relationship Id="rId74" Type="http://schemas.openxmlformats.org/officeDocument/2006/relationships/hyperlink" Target="https://webagentes.canaldirecto.com.ar/incidents/view/708372-9" TargetMode="External"/><Relationship Id="rId128" Type="http://schemas.openxmlformats.org/officeDocument/2006/relationships/hyperlink" Target="https://webagentes.canaldirecto.com.ar/incidents/view/745429-1" TargetMode="External"/><Relationship Id="rId149" Type="http://schemas.openxmlformats.org/officeDocument/2006/relationships/hyperlink" Target="https://webagentes.canaldirecto.com.ar/incidents/view/755983-3" TargetMode="External"/><Relationship Id="rId5" Type="http://schemas.openxmlformats.org/officeDocument/2006/relationships/hyperlink" Target="https://webagentes.canaldirecto.com.ar/incidents/view/679981-4" TargetMode="External"/><Relationship Id="rId95" Type="http://schemas.openxmlformats.org/officeDocument/2006/relationships/hyperlink" Target="https://webagentes.canaldirecto.com.ar/incidents/view/718213-6" TargetMode="External"/><Relationship Id="rId160" Type="http://schemas.openxmlformats.org/officeDocument/2006/relationships/hyperlink" Target="https://webagentes.canaldirecto.com.ar/incidents/view/760738-9" TargetMode="External"/><Relationship Id="rId181" Type="http://schemas.openxmlformats.org/officeDocument/2006/relationships/hyperlink" Target="https://webagentes.canaldirecto.com.ar/incidents/view/764883-6" TargetMode="External"/><Relationship Id="rId216" Type="http://schemas.openxmlformats.org/officeDocument/2006/relationships/hyperlink" Target="https://webagentes.canaldirecto.com.ar/incidents/view/792717-7" TargetMode="External"/><Relationship Id="rId237" Type="http://schemas.openxmlformats.org/officeDocument/2006/relationships/hyperlink" Target="https://webagentes.canaldirecto.com.ar/incidents/view/803159-2" TargetMode="External"/><Relationship Id="rId22" Type="http://schemas.openxmlformats.org/officeDocument/2006/relationships/hyperlink" Target="https://webagentes.canaldirecto.com.ar/incidents/view/668617-6" TargetMode="External"/><Relationship Id="rId43" Type="http://schemas.openxmlformats.org/officeDocument/2006/relationships/hyperlink" Target="https://webagentes.canaldirecto.com.ar/incidents/view/703856-1" TargetMode="External"/><Relationship Id="rId64" Type="http://schemas.openxmlformats.org/officeDocument/2006/relationships/hyperlink" Target="https://webagentes.canaldirecto.com.ar/incidents/view/708377-4" TargetMode="External"/><Relationship Id="rId118" Type="http://schemas.openxmlformats.org/officeDocument/2006/relationships/hyperlink" Target="https://webagentes.canaldirecto.com.ar/incidents/view/731504-4" TargetMode="External"/><Relationship Id="rId139" Type="http://schemas.openxmlformats.org/officeDocument/2006/relationships/hyperlink" Target="https://webagentes.canaldirecto.com.ar/incidents/view/756330-4" TargetMode="External"/><Relationship Id="rId85" Type="http://schemas.openxmlformats.org/officeDocument/2006/relationships/hyperlink" Target="https://webagentes.canaldirecto.com.ar/incidents/view/713905-5" TargetMode="External"/><Relationship Id="rId150" Type="http://schemas.openxmlformats.org/officeDocument/2006/relationships/hyperlink" Target="https://webagentes.canaldirecto.com.ar/incidents/view/755982-4" TargetMode="External"/><Relationship Id="rId171" Type="http://schemas.openxmlformats.org/officeDocument/2006/relationships/hyperlink" Target="https://webagentes.canaldirecto.com.ar/incidents/view/764898-8" TargetMode="External"/><Relationship Id="rId192" Type="http://schemas.openxmlformats.org/officeDocument/2006/relationships/hyperlink" Target="https://webagentes.canaldirecto.com.ar/incidents/view/774064-8" TargetMode="External"/><Relationship Id="rId206" Type="http://schemas.openxmlformats.org/officeDocument/2006/relationships/hyperlink" Target="https://webagentes.canaldirecto.com.ar/incidents/view/796136-6" TargetMode="External"/><Relationship Id="rId227" Type="http://schemas.openxmlformats.org/officeDocument/2006/relationships/hyperlink" Target="https://webagentes.canaldirecto.com.ar/incidents/view/797724-2" TargetMode="External"/><Relationship Id="rId12" Type="http://schemas.openxmlformats.org/officeDocument/2006/relationships/hyperlink" Target="https://webagentes.canaldirecto.com.ar/incidents/view/678545-9" TargetMode="External"/><Relationship Id="rId17" Type="http://schemas.openxmlformats.org/officeDocument/2006/relationships/hyperlink" Target="https://webagentes.canaldirecto.com.ar/incidents/view/678306-2" TargetMode="External"/><Relationship Id="rId33" Type="http://schemas.openxmlformats.org/officeDocument/2006/relationships/hyperlink" Target="https://webagentes.canaldirecto.com.ar/incidents/view/699252-7" TargetMode="External"/><Relationship Id="rId38" Type="http://schemas.openxmlformats.org/officeDocument/2006/relationships/hyperlink" Target="https://webagentes.canaldirecto.com.ar/incidents/view/696525-9" TargetMode="External"/><Relationship Id="rId59" Type="http://schemas.openxmlformats.org/officeDocument/2006/relationships/hyperlink" Target="https://webagentes.canaldirecto.com.ar/liquidations/removeIncident/708380-8" TargetMode="External"/><Relationship Id="rId103" Type="http://schemas.openxmlformats.org/officeDocument/2006/relationships/hyperlink" Target="https://webagentes.canaldirecto.com.ar/incidents/view/727396-0" TargetMode="External"/><Relationship Id="rId108" Type="http://schemas.openxmlformats.org/officeDocument/2006/relationships/hyperlink" Target="https://webagentes.canaldirecto.com.ar/incidents/view/735343-3" TargetMode="External"/><Relationship Id="rId124" Type="http://schemas.openxmlformats.org/officeDocument/2006/relationships/hyperlink" Target="https://webagentes.canaldirecto.com.ar/incidents/view/741407-1" TargetMode="External"/><Relationship Id="rId129" Type="http://schemas.openxmlformats.org/officeDocument/2006/relationships/hyperlink" Target="https://webagentes.canaldirecto.com.ar/incidents/view/745428-2" TargetMode="External"/><Relationship Id="rId54" Type="http://schemas.openxmlformats.org/officeDocument/2006/relationships/hyperlink" Target="https://webagentes.canaldirecto.com.ar/incidents/view/708988-4" TargetMode="External"/><Relationship Id="rId70" Type="http://schemas.openxmlformats.org/officeDocument/2006/relationships/hyperlink" Target="https://webagentes.canaldirecto.com.ar/incidents/view/708374-7" TargetMode="External"/><Relationship Id="rId75" Type="http://schemas.openxmlformats.org/officeDocument/2006/relationships/hyperlink" Target="https://webagentes.canaldirecto.com.ar/liquidations/removeIncident/708372-9" TargetMode="External"/><Relationship Id="rId91" Type="http://schemas.openxmlformats.org/officeDocument/2006/relationships/hyperlink" Target="https://webagentes.canaldirecto.com.ar/incidents/view/720344-8" TargetMode="External"/><Relationship Id="rId96" Type="http://schemas.openxmlformats.org/officeDocument/2006/relationships/hyperlink" Target="https://webagentes.canaldirecto.com.ar/incidents/view/718238-5" TargetMode="External"/><Relationship Id="rId140" Type="http://schemas.openxmlformats.org/officeDocument/2006/relationships/hyperlink" Target="https://webagentes.canaldirecto.com.ar/incidents/view/756328-9" TargetMode="External"/><Relationship Id="rId145" Type="http://schemas.openxmlformats.org/officeDocument/2006/relationships/hyperlink" Target="https://webagentes.canaldirecto.com.ar/incidents/view/756213-8" TargetMode="External"/><Relationship Id="rId161" Type="http://schemas.openxmlformats.org/officeDocument/2006/relationships/hyperlink" Target="https://webagentes.canaldirecto.com.ar/incidents/view/741601-5" TargetMode="External"/><Relationship Id="rId166" Type="http://schemas.openxmlformats.org/officeDocument/2006/relationships/hyperlink" Target="https://webagentes.canaldirecto.com.ar/incidents/view/765311-1" TargetMode="External"/><Relationship Id="rId182" Type="http://schemas.openxmlformats.org/officeDocument/2006/relationships/hyperlink" Target="https://webagentes.canaldirecto.com.ar/incidents/view/764882-7" TargetMode="External"/><Relationship Id="rId187" Type="http://schemas.openxmlformats.org/officeDocument/2006/relationships/hyperlink" Target="https://webagentes.canaldirecto.com.ar/incidents/view/774069-3" TargetMode="External"/><Relationship Id="rId217" Type="http://schemas.openxmlformats.org/officeDocument/2006/relationships/hyperlink" Target="https://webagentes.canaldirecto.com.ar/incidents/view/792716-8" TargetMode="External"/><Relationship Id="rId1" Type="http://schemas.openxmlformats.org/officeDocument/2006/relationships/hyperlink" Target="https://webagentes.canaldirecto.com.ar/incidents/view/682215-8" TargetMode="External"/><Relationship Id="rId6" Type="http://schemas.openxmlformats.org/officeDocument/2006/relationships/hyperlink" Target="https://webagentes.canaldirecto.com.ar/incidents/view/679145-0" TargetMode="External"/><Relationship Id="rId212" Type="http://schemas.openxmlformats.org/officeDocument/2006/relationships/hyperlink" Target="https://webagentes.canaldirecto.com.ar/incidents/view/792721-0" TargetMode="External"/><Relationship Id="rId233" Type="http://schemas.openxmlformats.org/officeDocument/2006/relationships/hyperlink" Target="https://webagentes.canaldirecto.com.ar/incidents/view/797486-5" TargetMode="External"/><Relationship Id="rId238" Type="http://schemas.openxmlformats.org/officeDocument/2006/relationships/hyperlink" Target="https://webagentes.canaldirecto.com.ar/liquidations/removeIncident/803159-2" TargetMode="External"/><Relationship Id="rId23" Type="http://schemas.openxmlformats.org/officeDocument/2006/relationships/hyperlink" Target="https://webagentes.canaldirecto.com.ar/incidents/view/668614-9" TargetMode="External"/><Relationship Id="rId28" Type="http://schemas.openxmlformats.org/officeDocument/2006/relationships/hyperlink" Target="https://webagentes.canaldirecto.com.ar/incidents/view/688712-8" TargetMode="External"/><Relationship Id="rId49" Type="http://schemas.openxmlformats.org/officeDocument/2006/relationships/hyperlink" Target="https://webagentes.canaldirecto.com.ar/liquidations/removeIncident/711399-6" TargetMode="External"/><Relationship Id="rId114" Type="http://schemas.openxmlformats.org/officeDocument/2006/relationships/hyperlink" Target="https://webagentes.canaldirecto.com.ar/incidents/view/740680-5" TargetMode="External"/><Relationship Id="rId119" Type="http://schemas.openxmlformats.org/officeDocument/2006/relationships/hyperlink" Target="https://webagentes.canaldirecto.com.ar/incidents/view/742427-2" TargetMode="External"/><Relationship Id="rId44" Type="http://schemas.openxmlformats.org/officeDocument/2006/relationships/hyperlink" Target="https://webagentes.canaldirecto.com.ar/incidents/view/701419-0" TargetMode="External"/><Relationship Id="rId60" Type="http://schemas.openxmlformats.org/officeDocument/2006/relationships/hyperlink" Target="https://webagentes.canaldirecto.com.ar/incidents/view/708379-2" TargetMode="External"/><Relationship Id="rId65" Type="http://schemas.openxmlformats.org/officeDocument/2006/relationships/hyperlink" Target="https://webagentes.canaldirecto.com.ar/liquidations/removeIncident/708377-4" TargetMode="External"/><Relationship Id="rId81" Type="http://schemas.openxmlformats.org/officeDocument/2006/relationships/hyperlink" Target="https://webagentes.canaldirecto.com.ar/liquidations/removeIncident/707706-5" TargetMode="External"/><Relationship Id="rId86" Type="http://schemas.openxmlformats.org/officeDocument/2006/relationships/hyperlink" Target="https://webagentes.canaldirecto.com.ar/incidents/view/713904-6" TargetMode="External"/><Relationship Id="rId130" Type="http://schemas.openxmlformats.org/officeDocument/2006/relationships/hyperlink" Target="https://webagentes.canaldirecto.com.ar/incidents/view/749162-7" TargetMode="External"/><Relationship Id="rId135" Type="http://schemas.openxmlformats.org/officeDocument/2006/relationships/hyperlink" Target="https://webagentes.canaldirecto.com.ar/incidents/view/752004-4" TargetMode="External"/><Relationship Id="rId151" Type="http://schemas.openxmlformats.org/officeDocument/2006/relationships/hyperlink" Target="https://webagentes.canaldirecto.com.ar/incidents/view/755981-5" TargetMode="External"/><Relationship Id="rId156" Type="http://schemas.openxmlformats.org/officeDocument/2006/relationships/hyperlink" Target="https://webagentes.canaldirecto.com.ar/incidents/view/755976-3" TargetMode="External"/><Relationship Id="rId177" Type="http://schemas.openxmlformats.org/officeDocument/2006/relationships/hyperlink" Target="https://webagentes.canaldirecto.com.ar/incidents/view/764892-4" TargetMode="External"/><Relationship Id="rId198" Type="http://schemas.openxmlformats.org/officeDocument/2006/relationships/hyperlink" Target="https://webagentes.canaldirecto.com.ar/incidents/view/776986-5" TargetMode="External"/><Relationship Id="rId172" Type="http://schemas.openxmlformats.org/officeDocument/2006/relationships/hyperlink" Target="https://webagentes.canaldirecto.com.ar/incidents/view/764897-9" TargetMode="External"/><Relationship Id="rId193" Type="http://schemas.openxmlformats.org/officeDocument/2006/relationships/hyperlink" Target="https://webagentes.canaldirecto.com.ar/incidents/view/774062-0" TargetMode="External"/><Relationship Id="rId202" Type="http://schemas.openxmlformats.org/officeDocument/2006/relationships/hyperlink" Target="https://webagentes.canaldirecto.com.ar/incidents/view/774539-7" TargetMode="External"/><Relationship Id="rId207" Type="http://schemas.openxmlformats.org/officeDocument/2006/relationships/hyperlink" Target="https://webagentes.canaldirecto.com.ar/incidents/view/795830-8" TargetMode="External"/><Relationship Id="rId223" Type="http://schemas.openxmlformats.org/officeDocument/2006/relationships/hyperlink" Target="https://webagentes.canaldirecto.com.ar/incidents/view/797726-0" TargetMode="External"/><Relationship Id="rId228" Type="http://schemas.openxmlformats.org/officeDocument/2006/relationships/hyperlink" Target="https://webagentes.canaldirecto.com.ar/liquidations/removeIncident/797724-2" TargetMode="External"/><Relationship Id="rId244" Type="http://schemas.openxmlformats.org/officeDocument/2006/relationships/hyperlink" Target="https://webagentes.canaldirecto.com.ar/liquidations/removeIncident/801055-3" TargetMode="External"/><Relationship Id="rId13" Type="http://schemas.openxmlformats.org/officeDocument/2006/relationships/hyperlink" Target="https://webagentes.canaldirecto.com.ar/incidents/view/678544-0" TargetMode="External"/><Relationship Id="rId18" Type="http://schemas.openxmlformats.org/officeDocument/2006/relationships/hyperlink" Target="https://webagentes.canaldirecto.com.ar/incidents/view/672383-9" TargetMode="External"/><Relationship Id="rId39" Type="http://schemas.openxmlformats.org/officeDocument/2006/relationships/hyperlink" Target="https://webagentes.canaldirecto.com.ar/incidents/view/696524-0" TargetMode="External"/><Relationship Id="rId109" Type="http://schemas.openxmlformats.org/officeDocument/2006/relationships/hyperlink" Target="https://webagentes.canaldirecto.com.ar/incidents/view/737798-3" TargetMode="External"/><Relationship Id="rId34" Type="http://schemas.openxmlformats.org/officeDocument/2006/relationships/hyperlink" Target="https://webagentes.canaldirecto.com.ar/incidents/view/698740-0" TargetMode="External"/><Relationship Id="rId50" Type="http://schemas.openxmlformats.org/officeDocument/2006/relationships/hyperlink" Target="https://webagentes.canaldirecto.com.ar/incidents/view/708990-9" TargetMode="External"/><Relationship Id="rId55" Type="http://schemas.openxmlformats.org/officeDocument/2006/relationships/hyperlink" Target="https://webagentes.canaldirecto.com.ar/liquidations/removeIncident/708988-4" TargetMode="External"/><Relationship Id="rId76" Type="http://schemas.openxmlformats.org/officeDocument/2006/relationships/hyperlink" Target="https://webagentes.canaldirecto.com.ar/incidents/view/708371-0" TargetMode="External"/><Relationship Id="rId97" Type="http://schemas.openxmlformats.org/officeDocument/2006/relationships/hyperlink" Target="https://webagentes.canaldirecto.com.ar/liquidations/removeIncident/718238-5" TargetMode="External"/><Relationship Id="rId104" Type="http://schemas.openxmlformats.org/officeDocument/2006/relationships/hyperlink" Target="https://webagentes.canaldirecto.com.ar/incidents/view/727395-1" TargetMode="External"/><Relationship Id="rId120" Type="http://schemas.openxmlformats.org/officeDocument/2006/relationships/hyperlink" Target="https://webagentes.canaldirecto.com.ar/incidents/view/741411-4" TargetMode="External"/><Relationship Id="rId125" Type="http://schemas.openxmlformats.org/officeDocument/2006/relationships/hyperlink" Target="https://webagentes.canaldirecto.com.ar/incidents/view/741406-2" TargetMode="External"/><Relationship Id="rId141" Type="http://schemas.openxmlformats.org/officeDocument/2006/relationships/hyperlink" Target="https://webagentes.canaldirecto.com.ar/incidents/view/756327-0" TargetMode="External"/><Relationship Id="rId146" Type="http://schemas.openxmlformats.org/officeDocument/2006/relationships/hyperlink" Target="https://webagentes.canaldirecto.com.ar/incidents/view/756212-9" TargetMode="External"/><Relationship Id="rId167" Type="http://schemas.openxmlformats.org/officeDocument/2006/relationships/hyperlink" Target="https://webagentes.canaldirecto.com.ar/incidents/view/765310-2" TargetMode="External"/><Relationship Id="rId188" Type="http://schemas.openxmlformats.org/officeDocument/2006/relationships/hyperlink" Target="https://webagentes.canaldirecto.com.ar/incidents/view/774068-4" TargetMode="External"/><Relationship Id="rId7" Type="http://schemas.openxmlformats.org/officeDocument/2006/relationships/hyperlink" Target="https://webagentes.canaldirecto.com.ar/incidents/view/678550-1" TargetMode="External"/><Relationship Id="rId71" Type="http://schemas.openxmlformats.org/officeDocument/2006/relationships/hyperlink" Target="https://webagentes.canaldirecto.com.ar/liquidations/removeIncident/708374-7" TargetMode="External"/><Relationship Id="rId92" Type="http://schemas.openxmlformats.org/officeDocument/2006/relationships/hyperlink" Target="https://webagentes.canaldirecto.com.ar/incidents/view/720343-9" TargetMode="External"/><Relationship Id="rId162" Type="http://schemas.openxmlformats.org/officeDocument/2006/relationships/hyperlink" Target="https://webagentes.canaldirecto.com.ar/incidents/view/765748-1" TargetMode="External"/><Relationship Id="rId183" Type="http://schemas.openxmlformats.org/officeDocument/2006/relationships/hyperlink" Target="https://webagentes.canaldirecto.com.ar/incidents/view/767304-5" TargetMode="External"/><Relationship Id="rId213" Type="http://schemas.openxmlformats.org/officeDocument/2006/relationships/hyperlink" Target="https://webagentes.canaldirecto.com.ar/incidents/view/792720-1" TargetMode="External"/><Relationship Id="rId218" Type="http://schemas.openxmlformats.org/officeDocument/2006/relationships/hyperlink" Target="https://webagentes.canaldirecto.com.ar/incidents/view/792714-0" TargetMode="External"/><Relationship Id="rId234" Type="http://schemas.openxmlformats.org/officeDocument/2006/relationships/hyperlink" Target="https://webagentes.canaldirecto.com.ar/liquidations/removeIncident/797486-5" TargetMode="External"/><Relationship Id="rId239" Type="http://schemas.openxmlformats.org/officeDocument/2006/relationships/hyperlink" Target="https://webagentes.canaldirecto.com.ar/incidents/view/801531-8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ebagentes.canaldirecto.com.ar/incidents/view/683711-4" TargetMode="External"/><Relationship Id="rId24" Type="http://schemas.openxmlformats.org/officeDocument/2006/relationships/hyperlink" Target="https://webagentes.canaldirecto.com.ar/incidents/view/668613-0" TargetMode="External"/><Relationship Id="rId40" Type="http://schemas.openxmlformats.org/officeDocument/2006/relationships/hyperlink" Target="https://webagentes.canaldirecto.com.ar/incidents/view/706568-0" TargetMode="External"/><Relationship Id="rId45" Type="http://schemas.openxmlformats.org/officeDocument/2006/relationships/hyperlink" Target="https://webagentes.canaldirecto.com.ar/incidents/view/711400-1" TargetMode="External"/><Relationship Id="rId66" Type="http://schemas.openxmlformats.org/officeDocument/2006/relationships/hyperlink" Target="https://webagentes.canaldirecto.com.ar/incidents/view/708376-5" TargetMode="External"/><Relationship Id="rId87" Type="http://schemas.openxmlformats.org/officeDocument/2006/relationships/hyperlink" Target="https://webagentes.canaldirecto.com.ar/incidents/view/715721-9" TargetMode="External"/><Relationship Id="rId110" Type="http://schemas.openxmlformats.org/officeDocument/2006/relationships/hyperlink" Target="https://webagentes.canaldirecto.com.ar/liquidations/removeIncident/737798-3" TargetMode="External"/><Relationship Id="rId115" Type="http://schemas.openxmlformats.org/officeDocument/2006/relationships/hyperlink" Target="https://webagentes.canaldirecto.com.ar/incidents/view/738994-2" TargetMode="External"/><Relationship Id="rId131" Type="http://schemas.openxmlformats.org/officeDocument/2006/relationships/hyperlink" Target="https://webagentes.canaldirecto.com.ar/liquidations/removeIncident/749162-7" TargetMode="External"/><Relationship Id="rId136" Type="http://schemas.openxmlformats.org/officeDocument/2006/relationships/hyperlink" Target="https://webagentes.canaldirecto.com.ar/incidents/view/756401-1" TargetMode="External"/><Relationship Id="rId157" Type="http://schemas.openxmlformats.org/officeDocument/2006/relationships/hyperlink" Target="https://webagentes.canaldirecto.com.ar/incidents/view/755975-4" TargetMode="External"/><Relationship Id="rId178" Type="http://schemas.openxmlformats.org/officeDocument/2006/relationships/hyperlink" Target="https://webagentes.canaldirecto.com.ar/incidents/view/764891-5" TargetMode="External"/><Relationship Id="rId61" Type="http://schemas.openxmlformats.org/officeDocument/2006/relationships/hyperlink" Target="https://webagentes.canaldirecto.com.ar/liquidations/removeIncident/708379-2" TargetMode="External"/><Relationship Id="rId82" Type="http://schemas.openxmlformats.org/officeDocument/2006/relationships/hyperlink" Target="https://webagentes.canaldirecto.com.ar/incidents/view/705679-8" TargetMode="External"/><Relationship Id="rId152" Type="http://schemas.openxmlformats.org/officeDocument/2006/relationships/hyperlink" Target="https://webagentes.canaldirecto.com.ar/incidents/view/755980-6" TargetMode="External"/><Relationship Id="rId173" Type="http://schemas.openxmlformats.org/officeDocument/2006/relationships/hyperlink" Target="https://webagentes.canaldirecto.com.ar/incidents/view/764896-0" TargetMode="External"/><Relationship Id="rId194" Type="http://schemas.openxmlformats.org/officeDocument/2006/relationships/hyperlink" Target="https://webagentes.canaldirecto.com.ar/incidents/view/774061-1" TargetMode="External"/><Relationship Id="rId199" Type="http://schemas.openxmlformats.org/officeDocument/2006/relationships/hyperlink" Target="https://webagentes.canaldirecto.com.ar/incidents/view/776985-6" TargetMode="External"/><Relationship Id="rId203" Type="http://schemas.openxmlformats.org/officeDocument/2006/relationships/hyperlink" Target="https://webagentes.canaldirecto.com.ar/incidents/view/784046-1" TargetMode="External"/><Relationship Id="rId208" Type="http://schemas.openxmlformats.org/officeDocument/2006/relationships/hyperlink" Target="https://webagentes.canaldirecto.com.ar/incidents/view/793270-8" TargetMode="External"/><Relationship Id="rId229" Type="http://schemas.openxmlformats.org/officeDocument/2006/relationships/hyperlink" Target="https://webagentes.canaldirecto.com.ar/incidents/view/797723-3" TargetMode="External"/><Relationship Id="rId19" Type="http://schemas.openxmlformats.org/officeDocument/2006/relationships/hyperlink" Target="https://webagentes.canaldirecto.com.ar/incidents/view/670897-3" TargetMode="External"/><Relationship Id="rId224" Type="http://schemas.openxmlformats.org/officeDocument/2006/relationships/hyperlink" Target="https://webagentes.canaldirecto.com.ar/liquidations/removeIncident/797726-0" TargetMode="External"/><Relationship Id="rId240" Type="http://schemas.openxmlformats.org/officeDocument/2006/relationships/hyperlink" Target="https://webagentes.canaldirecto.com.ar/liquidations/removeIncident/801531-8" TargetMode="External"/><Relationship Id="rId245" Type="http://schemas.openxmlformats.org/officeDocument/2006/relationships/hyperlink" Target="https://webagentes.canaldirecto.com.ar/incidents/view/800133-3" TargetMode="External"/><Relationship Id="rId14" Type="http://schemas.openxmlformats.org/officeDocument/2006/relationships/hyperlink" Target="https://webagentes.canaldirecto.com.ar/incidents/view/678543-1" TargetMode="External"/><Relationship Id="rId30" Type="http://schemas.openxmlformats.org/officeDocument/2006/relationships/hyperlink" Target="https://webagentes.canaldirecto.com.ar/incidents/view/695152-0" TargetMode="External"/><Relationship Id="rId35" Type="http://schemas.openxmlformats.org/officeDocument/2006/relationships/hyperlink" Target="https://webagentes.canaldirecto.com.ar/incidents/view/696528-6" TargetMode="External"/><Relationship Id="rId56" Type="http://schemas.openxmlformats.org/officeDocument/2006/relationships/hyperlink" Target="https://webagentes.canaldirecto.com.ar/incidents/view/708987-5" TargetMode="External"/><Relationship Id="rId77" Type="http://schemas.openxmlformats.org/officeDocument/2006/relationships/hyperlink" Target="https://webagentes.canaldirecto.com.ar/liquidations/removeIncident/708371-0" TargetMode="External"/><Relationship Id="rId100" Type="http://schemas.openxmlformats.org/officeDocument/2006/relationships/hyperlink" Target="https://webagentes.canaldirecto.com.ar/incidents/view/725104-7" TargetMode="External"/><Relationship Id="rId105" Type="http://schemas.openxmlformats.org/officeDocument/2006/relationships/hyperlink" Target="https://webagentes.canaldirecto.com.ar/incidents/view/724087-4" TargetMode="External"/><Relationship Id="rId126" Type="http://schemas.openxmlformats.org/officeDocument/2006/relationships/hyperlink" Target="https://webagentes.canaldirecto.com.ar/incidents/view/741405-3" TargetMode="External"/><Relationship Id="rId147" Type="http://schemas.openxmlformats.org/officeDocument/2006/relationships/hyperlink" Target="https://webagentes.canaldirecto.com.ar/incidents/view/756049-5" TargetMode="External"/><Relationship Id="rId168" Type="http://schemas.openxmlformats.org/officeDocument/2006/relationships/hyperlink" Target="https://webagentes.canaldirecto.com.ar/incidents/view/765309-6" TargetMode="External"/><Relationship Id="rId8" Type="http://schemas.openxmlformats.org/officeDocument/2006/relationships/hyperlink" Target="https://webagentes.canaldirecto.com.ar/incidents/view/678549-5" TargetMode="External"/><Relationship Id="rId51" Type="http://schemas.openxmlformats.org/officeDocument/2006/relationships/hyperlink" Target="https://webagentes.canaldirecto.com.ar/liquidations/removeIncident/708990-9" TargetMode="External"/><Relationship Id="rId72" Type="http://schemas.openxmlformats.org/officeDocument/2006/relationships/hyperlink" Target="https://webagentes.canaldirecto.com.ar/incidents/view/708373-8" TargetMode="External"/><Relationship Id="rId93" Type="http://schemas.openxmlformats.org/officeDocument/2006/relationships/hyperlink" Target="https://webagentes.canaldirecto.com.ar/incidents/view/720340-2" TargetMode="External"/><Relationship Id="rId98" Type="http://schemas.openxmlformats.org/officeDocument/2006/relationships/hyperlink" Target="https://webagentes.canaldirecto.com.ar/incidents/view/689320-8" TargetMode="External"/><Relationship Id="rId121" Type="http://schemas.openxmlformats.org/officeDocument/2006/relationships/hyperlink" Target="https://webagentes.canaldirecto.com.ar/incidents/view/741410-5" TargetMode="External"/><Relationship Id="rId142" Type="http://schemas.openxmlformats.org/officeDocument/2006/relationships/hyperlink" Target="https://webagentes.canaldirecto.com.ar/incidents/view/756326-1" TargetMode="External"/><Relationship Id="rId163" Type="http://schemas.openxmlformats.org/officeDocument/2006/relationships/hyperlink" Target="https://webagentes.canaldirecto.com.ar/incidents/view/765747-2" TargetMode="External"/><Relationship Id="rId184" Type="http://schemas.openxmlformats.org/officeDocument/2006/relationships/hyperlink" Target="https://webagentes.canaldirecto.com.ar/incidents/view/774072-7" TargetMode="External"/><Relationship Id="rId189" Type="http://schemas.openxmlformats.org/officeDocument/2006/relationships/hyperlink" Target="https://webagentes.canaldirecto.com.ar/incidents/view/774067-5" TargetMode="External"/><Relationship Id="rId219" Type="http://schemas.openxmlformats.org/officeDocument/2006/relationships/hyperlink" Target="https://webagentes.canaldirecto.com.ar/incidents/view/792713-1" TargetMode="External"/><Relationship Id="rId3" Type="http://schemas.openxmlformats.org/officeDocument/2006/relationships/hyperlink" Target="https://webagentes.canaldirecto.com.ar/incidents/view/681769-7" TargetMode="External"/><Relationship Id="rId214" Type="http://schemas.openxmlformats.org/officeDocument/2006/relationships/hyperlink" Target="https://webagentes.canaldirecto.com.ar/incidents/view/792719-5" TargetMode="External"/><Relationship Id="rId230" Type="http://schemas.openxmlformats.org/officeDocument/2006/relationships/hyperlink" Target="https://webagentes.canaldirecto.com.ar/liquidations/removeIncident/797723-3" TargetMode="External"/><Relationship Id="rId235" Type="http://schemas.openxmlformats.org/officeDocument/2006/relationships/hyperlink" Target="https://webagentes.canaldirecto.com.ar/incidents/view/797206-1" TargetMode="External"/><Relationship Id="rId25" Type="http://schemas.openxmlformats.org/officeDocument/2006/relationships/hyperlink" Target="https://webagentes.canaldirecto.com.ar/incidents/view/668611-2" TargetMode="External"/><Relationship Id="rId46" Type="http://schemas.openxmlformats.org/officeDocument/2006/relationships/hyperlink" Target="https://webagentes.canaldirecto.com.ar/liquidations/removeIncident/711400-1" TargetMode="External"/><Relationship Id="rId67" Type="http://schemas.openxmlformats.org/officeDocument/2006/relationships/hyperlink" Target="https://webagentes.canaldirecto.com.ar/liquidations/removeIncident/708376-5" TargetMode="External"/><Relationship Id="rId116" Type="http://schemas.openxmlformats.org/officeDocument/2006/relationships/hyperlink" Target="https://webagentes.canaldirecto.com.ar/incidents/view/738993-3" TargetMode="External"/><Relationship Id="rId137" Type="http://schemas.openxmlformats.org/officeDocument/2006/relationships/hyperlink" Target="https://webagentes.canaldirecto.com.ar/incidents/view/756400-2" TargetMode="External"/><Relationship Id="rId158" Type="http://schemas.openxmlformats.org/officeDocument/2006/relationships/hyperlink" Target="https://webagentes.canaldirecto.com.ar/incidents/view/755974-5" TargetMode="External"/><Relationship Id="rId20" Type="http://schemas.openxmlformats.org/officeDocument/2006/relationships/hyperlink" Target="https://webagentes.canaldirecto.com.ar/incidents/view/668619-4" TargetMode="External"/><Relationship Id="rId41" Type="http://schemas.openxmlformats.org/officeDocument/2006/relationships/hyperlink" Target="https://webagentes.canaldirecto.com.ar/incidents/view/706160-2" TargetMode="External"/><Relationship Id="rId62" Type="http://schemas.openxmlformats.org/officeDocument/2006/relationships/hyperlink" Target="https://webagentes.canaldirecto.com.ar/incidents/view/708378-3" TargetMode="External"/><Relationship Id="rId83" Type="http://schemas.openxmlformats.org/officeDocument/2006/relationships/hyperlink" Target="https://webagentes.canaldirecto.com.ar/liquidations/removeIncident/705679-8" TargetMode="External"/><Relationship Id="rId88" Type="http://schemas.openxmlformats.org/officeDocument/2006/relationships/hyperlink" Target="https://webagentes.canaldirecto.com.ar/incidents/view/720348-4" TargetMode="External"/><Relationship Id="rId111" Type="http://schemas.openxmlformats.org/officeDocument/2006/relationships/hyperlink" Target="https://webagentes.canaldirecto.com.ar/incidents/view/737456-0" TargetMode="External"/><Relationship Id="rId132" Type="http://schemas.openxmlformats.org/officeDocument/2006/relationships/hyperlink" Target="https://webagentes.canaldirecto.com.ar/incidents/view/747521-2" TargetMode="External"/><Relationship Id="rId153" Type="http://schemas.openxmlformats.org/officeDocument/2006/relationships/hyperlink" Target="https://webagentes.canaldirecto.com.ar/incidents/view/755979-0" TargetMode="External"/><Relationship Id="rId174" Type="http://schemas.openxmlformats.org/officeDocument/2006/relationships/hyperlink" Target="https://webagentes.canaldirecto.com.ar/incidents/view/764895-1" TargetMode="External"/><Relationship Id="rId179" Type="http://schemas.openxmlformats.org/officeDocument/2006/relationships/hyperlink" Target="https://webagentes.canaldirecto.com.ar/incidents/view/764890-6" TargetMode="External"/><Relationship Id="rId195" Type="http://schemas.openxmlformats.org/officeDocument/2006/relationships/hyperlink" Target="https://webagentes.canaldirecto.com.ar/incidents/view/773096-0" TargetMode="External"/><Relationship Id="rId209" Type="http://schemas.openxmlformats.org/officeDocument/2006/relationships/hyperlink" Target="https://webagentes.canaldirecto.com.ar/incidents/view/792725-6" TargetMode="External"/><Relationship Id="rId190" Type="http://schemas.openxmlformats.org/officeDocument/2006/relationships/hyperlink" Target="https://webagentes.canaldirecto.com.ar/incidents/view/774066-6" TargetMode="External"/><Relationship Id="rId204" Type="http://schemas.openxmlformats.org/officeDocument/2006/relationships/hyperlink" Target="https://webagentes.canaldirecto.com.ar/incidents/view/796138-4" TargetMode="External"/><Relationship Id="rId220" Type="http://schemas.openxmlformats.org/officeDocument/2006/relationships/hyperlink" Target="https://webagentes.canaldirecto.com.ar/incidents/view/792710-4" TargetMode="External"/><Relationship Id="rId225" Type="http://schemas.openxmlformats.org/officeDocument/2006/relationships/hyperlink" Target="https://webagentes.canaldirecto.com.ar/incidents/view/797725-1" TargetMode="External"/><Relationship Id="rId241" Type="http://schemas.openxmlformats.org/officeDocument/2006/relationships/hyperlink" Target="https://webagentes.canaldirecto.com.ar/incidents/view/801189-9" TargetMode="External"/><Relationship Id="rId246" Type="http://schemas.openxmlformats.org/officeDocument/2006/relationships/hyperlink" Target="https://webagentes.canaldirecto.com.ar/incidents/view/806640-0" TargetMode="External"/><Relationship Id="rId15" Type="http://schemas.openxmlformats.org/officeDocument/2006/relationships/hyperlink" Target="https://webagentes.canaldirecto.com.ar/incidents/view/678542-2" TargetMode="External"/><Relationship Id="rId36" Type="http://schemas.openxmlformats.org/officeDocument/2006/relationships/hyperlink" Target="https://webagentes.canaldirecto.com.ar/incidents/view/696527-7" TargetMode="External"/><Relationship Id="rId57" Type="http://schemas.openxmlformats.org/officeDocument/2006/relationships/hyperlink" Target="https://webagentes.canaldirecto.com.ar/liquidations/removeIncident/708987-5" TargetMode="External"/><Relationship Id="rId106" Type="http://schemas.openxmlformats.org/officeDocument/2006/relationships/hyperlink" Target="https://webagentes.canaldirecto.com.ar/incidents/view/733098-2" TargetMode="External"/><Relationship Id="rId127" Type="http://schemas.openxmlformats.org/officeDocument/2006/relationships/hyperlink" Target="https://webagentes.canaldirecto.com.ar/incidents/view/745601-3" TargetMode="External"/><Relationship Id="rId10" Type="http://schemas.openxmlformats.org/officeDocument/2006/relationships/hyperlink" Target="https://webagentes.canaldirecto.com.ar/incidents/view/678547-7" TargetMode="External"/><Relationship Id="rId31" Type="http://schemas.openxmlformats.org/officeDocument/2006/relationships/hyperlink" Target="https://webagentes.canaldirecto.com.ar/incidents/view/694993-2" TargetMode="External"/><Relationship Id="rId52" Type="http://schemas.openxmlformats.org/officeDocument/2006/relationships/hyperlink" Target="https://webagentes.canaldirecto.com.ar/incidents/view/708989-3" TargetMode="External"/><Relationship Id="rId73" Type="http://schemas.openxmlformats.org/officeDocument/2006/relationships/hyperlink" Target="https://webagentes.canaldirecto.com.ar/liquidations/removeIncident/708373-8" TargetMode="External"/><Relationship Id="rId78" Type="http://schemas.openxmlformats.org/officeDocument/2006/relationships/hyperlink" Target="https://webagentes.canaldirecto.com.ar/incidents/view/708370-1" TargetMode="External"/><Relationship Id="rId94" Type="http://schemas.openxmlformats.org/officeDocument/2006/relationships/hyperlink" Target="https://webagentes.canaldirecto.com.ar/incidents/view/718237-6" TargetMode="External"/><Relationship Id="rId99" Type="http://schemas.openxmlformats.org/officeDocument/2006/relationships/hyperlink" Target="https://webagentes.canaldirecto.com.ar/liquidations/removeIncident/689320-8" TargetMode="External"/><Relationship Id="rId101" Type="http://schemas.openxmlformats.org/officeDocument/2006/relationships/hyperlink" Target="https://webagentes.canaldirecto.com.ar/incidents/view/730573-7" TargetMode="External"/><Relationship Id="rId122" Type="http://schemas.openxmlformats.org/officeDocument/2006/relationships/hyperlink" Target="https://webagentes.canaldirecto.com.ar/incidents/view/741409-9" TargetMode="External"/><Relationship Id="rId143" Type="http://schemas.openxmlformats.org/officeDocument/2006/relationships/hyperlink" Target="https://webagentes.canaldirecto.com.ar/incidents/view/756325-2" TargetMode="External"/><Relationship Id="rId148" Type="http://schemas.openxmlformats.org/officeDocument/2006/relationships/hyperlink" Target="https://webagentes.canaldirecto.com.ar/incidents/view/756040-4" TargetMode="External"/><Relationship Id="rId164" Type="http://schemas.openxmlformats.org/officeDocument/2006/relationships/hyperlink" Target="https://webagentes.canaldirecto.com.ar/incidents/view/765745-4" TargetMode="External"/><Relationship Id="rId169" Type="http://schemas.openxmlformats.org/officeDocument/2006/relationships/hyperlink" Target="https://webagentes.canaldirecto.com.ar/incidents/view/764900-2" TargetMode="External"/><Relationship Id="rId185" Type="http://schemas.openxmlformats.org/officeDocument/2006/relationships/hyperlink" Target="https://webagentes.canaldirecto.com.ar/incidents/view/774071-8" TargetMode="External"/><Relationship Id="rId4" Type="http://schemas.openxmlformats.org/officeDocument/2006/relationships/hyperlink" Target="https://webagentes.canaldirecto.com.ar/incidents/view/680660-0" TargetMode="External"/><Relationship Id="rId9" Type="http://schemas.openxmlformats.org/officeDocument/2006/relationships/hyperlink" Target="https://webagentes.canaldirecto.com.ar/incidents/view/678548-6" TargetMode="External"/><Relationship Id="rId180" Type="http://schemas.openxmlformats.org/officeDocument/2006/relationships/hyperlink" Target="https://webagentes.canaldirecto.com.ar/incidents/view/764889-0" TargetMode="External"/><Relationship Id="rId210" Type="http://schemas.openxmlformats.org/officeDocument/2006/relationships/hyperlink" Target="https://webagentes.canaldirecto.com.ar/incidents/view/792724-7" TargetMode="External"/><Relationship Id="rId215" Type="http://schemas.openxmlformats.org/officeDocument/2006/relationships/hyperlink" Target="https://webagentes.canaldirecto.com.ar/incidents/view/792718-6" TargetMode="External"/><Relationship Id="rId236" Type="http://schemas.openxmlformats.org/officeDocument/2006/relationships/hyperlink" Target="https://webagentes.canaldirecto.com.ar/liquidations/removeIncident/797206-1" TargetMode="External"/><Relationship Id="rId26" Type="http://schemas.openxmlformats.org/officeDocument/2006/relationships/hyperlink" Target="https://webagentes.canaldirecto.com.ar/incidents/view/689349-3" TargetMode="External"/><Relationship Id="rId231" Type="http://schemas.openxmlformats.org/officeDocument/2006/relationships/hyperlink" Target="https://webagentes.canaldirecto.com.ar/incidents/view/797487-4" TargetMode="External"/><Relationship Id="rId47" Type="http://schemas.openxmlformats.org/officeDocument/2006/relationships/image" Target="../media/image2.png"/><Relationship Id="rId68" Type="http://schemas.openxmlformats.org/officeDocument/2006/relationships/hyperlink" Target="https://webagentes.canaldirecto.com.ar/incidents/view/708375-6" TargetMode="External"/><Relationship Id="rId89" Type="http://schemas.openxmlformats.org/officeDocument/2006/relationships/hyperlink" Target="https://webagentes.canaldirecto.com.ar/incidents/view/720347-5" TargetMode="External"/><Relationship Id="rId112" Type="http://schemas.openxmlformats.org/officeDocument/2006/relationships/hyperlink" Target="https://webagentes.canaldirecto.com.ar/liquidations/removeIncident/737456-0" TargetMode="External"/><Relationship Id="rId133" Type="http://schemas.openxmlformats.org/officeDocument/2006/relationships/hyperlink" Target="https://webagentes.canaldirecto.com.ar/liquidations/removeIncident/747521-2" TargetMode="External"/><Relationship Id="rId154" Type="http://schemas.openxmlformats.org/officeDocument/2006/relationships/hyperlink" Target="https://webagentes.canaldirecto.com.ar/incidents/view/755978-1" TargetMode="External"/><Relationship Id="rId175" Type="http://schemas.openxmlformats.org/officeDocument/2006/relationships/hyperlink" Target="https://webagentes.canaldirecto.com.ar/incidents/view/764894-2" TargetMode="External"/><Relationship Id="rId196" Type="http://schemas.openxmlformats.org/officeDocument/2006/relationships/hyperlink" Target="https://webagentes.canaldirecto.com.ar/incidents/view/776988-3" TargetMode="External"/><Relationship Id="rId200" Type="http://schemas.openxmlformats.org/officeDocument/2006/relationships/hyperlink" Target="https://webagentes.canaldirecto.com.ar/incidents/view/774541-2" TargetMode="External"/><Relationship Id="rId16" Type="http://schemas.openxmlformats.org/officeDocument/2006/relationships/hyperlink" Target="https://webagentes.canaldirecto.com.ar/incidents/view/678541-3" TargetMode="External"/><Relationship Id="rId221" Type="http://schemas.openxmlformats.org/officeDocument/2006/relationships/hyperlink" Target="https://webagentes.canaldirecto.com.ar/incidents/view/792709-8" TargetMode="External"/><Relationship Id="rId242" Type="http://schemas.openxmlformats.org/officeDocument/2006/relationships/hyperlink" Target="https://webagentes.canaldirecto.com.ar/liquidations/removeIncident/801189-9" TargetMode="External"/><Relationship Id="rId37" Type="http://schemas.openxmlformats.org/officeDocument/2006/relationships/hyperlink" Target="https://webagentes.canaldirecto.com.ar/incidents/view/696526-8" TargetMode="External"/><Relationship Id="rId58" Type="http://schemas.openxmlformats.org/officeDocument/2006/relationships/hyperlink" Target="https://webagentes.canaldirecto.com.ar/incidents/view/708380-8" TargetMode="External"/><Relationship Id="rId79" Type="http://schemas.openxmlformats.org/officeDocument/2006/relationships/hyperlink" Target="https://webagentes.canaldirecto.com.ar/liquidations/removeIncident/708370-1" TargetMode="External"/><Relationship Id="rId102" Type="http://schemas.openxmlformats.org/officeDocument/2006/relationships/hyperlink" Target="https://webagentes.canaldirecto.com.ar/incidents/view/727628-6" TargetMode="External"/><Relationship Id="rId123" Type="http://schemas.openxmlformats.org/officeDocument/2006/relationships/hyperlink" Target="https://webagentes.canaldirecto.com.ar/incidents/view/741408-0" TargetMode="External"/><Relationship Id="rId144" Type="http://schemas.openxmlformats.org/officeDocument/2006/relationships/hyperlink" Target="https://webagentes.canaldirecto.com.ar/incidents/view/756324-3" TargetMode="External"/><Relationship Id="rId90" Type="http://schemas.openxmlformats.org/officeDocument/2006/relationships/hyperlink" Target="https://webagentes.canaldirecto.com.ar/incidents/view/720346-6" TargetMode="External"/><Relationship Id="rId165" Type="http://schemas.openxmlformats.org/officeDocument/2006/relationships/hyperlink" Target="https://webagentes.canaldirecto.com.ar/incidents/view/765387-4" TargetMode="External"/><Relationship Id="rId186" Type="http://schemas.openxmlformats.org/officeDocument/2006/relationships/hyperlink" Target="https://webagentes.canaldirecto.com.ar/incidents/view/774070-9" TargetMode="External"/><Relationship Id="rId211" Type="http://schemas.openxmlformats.org/officeDocument/2006/relationships/hyperlink" Target="https://webagentes.canaldirecto.com.ar/incidents/view/792722-9" TargetMode="External"/><Relationship Id="rId232" Type="http://schemas.openxmlformats.org/officeDocument/2006/relationships/hyperlink" Target="https://webagentes.canaldirecto.com.ar/liquidations/removeIncident/797487-4" TargetMode="External"/><Relationship Id="rId27" Type="http://schemas.openxmlformats.org/officeDocument/2006/relationships/hyperlink" Target="https://webagentes.canaldirecto.com.ar/incidents/view/689232-4" TargetMode="External"/><Relationship Id="rId48" Type="http://schemas.openxmlformats.org/officeDocument/2006/relationships/hyperlink" Target="https://webagentes.canaldirecto.com.ar/incidents/view/711399-6" TargetMode="External"/><Relationship Id="rId69" Type="http://schemas.openxmlformats.org/officeDocument/2006/relationships/hyperlink" Target="https://webagentes.canaldirecto.com.ar/liquidations/removeIncident/708375-6" TargetMode="External"/><Relationship Id="rId113" Type="http://schemas.openxmlformats.org/officeDocument/2006/relationships/hyperlink" Target="https://webagentes.canaldirecto.com.ar/incidents/view/737430-2" TargetMode="External"/><Relationship Id="rId134" Type="http://schemas.openxmlformats.org/officeDocument/2006/relationships/hyperlink" Target="https://webagentes.canaldirecto.com.ar/incidents/view/746415-5" TargetMode="External"/><Relationship Id="rId80" Type="http://schemas.openxmlformats.org/officeDocument/2006/relationships/hyperlink" Target="https://webagentes.canaldirecto.com.ar/incidents/view/707706-5" TargetMode="External"/><Relationship Id="rId155" Type="http://schemas.openxmlformats.org/officeDocument/2006/relationships/hyperlink" Target="https://webagentes.canaldirecto.com.ar/incidents/view/755977-2" TargetMode="External"/><Relationship Id="rId176" Type="http://schemas.openxmlformats.org/officeDocument/2006/relationships/hyperlink" Target="https://webagentes.canaldirecto.com.ar/incidents/view/764893-3" TargetMode="External"/><Relationship Id="rId197" Type="http://schemas.openxmlformats.org/officeDocument/2006/relationships/hyperlink" Target="https://webagentes.canaldirecto.com.ar/incidents/view/776987-4" TargetMode="External"/><Relationship Id="rId201" Type="http://schemas.openxmlformats.org/officeDocument/2006/relationships/hyperlink" Target="https://webagentes.canaldirecto.com.ar/incidents/view/774540-3" TargetMode="External"/><Relationship Id="rId222" Type="http://schemas.openxmlformats.org/officeDocument/2006/relationships/hyperlink" Target="https://webagentes.canaldirecto.com.ar/incidents/view/792707-0" TargetMode="External"/><Relationship Id="rId243" Type="http://schemas.openxmlformats.org/officeDocument/2006/relationships/hyperlink" Target="https://webagentes.canaldirecto.com.ar/incidents/view/801055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148590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CC16AD79-4A6B-4987-8C75-72310A0C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7F537FE1-02B6-47BA-A326-5A7F6F8C6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148590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256535E0-A10E-43B0-B7BF-FAEA4023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148590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C7A0A912-D80D-411D-8566-49DAC029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148590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EF1A0E29-3815-4E7A-AB48-5E8175F3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148590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840BC4B5-2C78-47FD-83B3-232E06479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148590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336A5F90-2E49-424D-96F8-E58B8389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15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148590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F2009AF2-0009-4782-8387-C82B1E94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148590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A629BAFD-55E4-49F4-875E-754E35D1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148590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991CA982-322E-4556-9B80-0D5DB055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23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148590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A6DB6CB7-E459-46C5-ABBD-E649D028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26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148590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43F23836-CF38-4F20-8555-F4630486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148590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77A838B7-5ED1-4930-B0E5-1AB7EB7D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148590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31DC2D5-0C6B-4802-92EB-936FFE9C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148590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AFCDB732-CACC-4FE4-8733-C311012C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3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148590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33943EF4-C41C-4526-92E3-7608872B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3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148590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1613EE12-FB5A-4BCE-BE17-5B803029B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148590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471DE0FB-87DF-4BEC-99A2-3E362B1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4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148590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BDEE672F-3386-4DDE-AA11-CD86B9570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148590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AAD217D5-CC23-4FC1-A2EA-967B863D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50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148590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3012A5E4-37CD-4AB7-A887-3018EBD8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52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148590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4D18D671-7598-4E84-BC94-D6176B91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55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148590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C5A02B8-5302-4443-9BF3-94E62ABF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148590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CB98582A-F0F5-4BB2-9B38-4A3CEBAE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24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12EE2BDE-C84A-41BA-B586-60C18A8B8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72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6E2D03C4-450B-43FB-BC03-0224E7BA0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4F8E9DB0-C218-474C-8FD4-112756B9B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C3F9D1A7-FBDD-4EF6-8C24-527080B6E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118110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E96BF872-5DD2-439A-97EE-A03D14F9D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78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148590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BF5C1F6C-D1A4-4FF2-BBBE-B2DBAB56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98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148590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4B15B005-8B94-43A6-8B4A-0F19EB50B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07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114300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80ED97BC-F1D5-6FFF-1DDD-0B21F6CC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91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118110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49195191-A799-799A-36E9-3A005AE0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11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118110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8CE9BB8D-5922-D73E-C11F-43E8C18F8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24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118110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24276A08-F86D-54F5-80B8-FDBB40E5F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33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118110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41D71CBE-E76A-E11A-B943-BE7B05383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42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118110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CAB1257D-11B8-12C7-FB3F-A82325DD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51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118110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4F982249-08AE-DBB6-A930-4C000FC12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118110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A48B6792-7E23-ED47-5A59-AEA92C336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1071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118110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509B4B12-E5CD-8386-4DB9-0A8FCB26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108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304800</xdr:colOff>
      <xdr:row>61</xdr:row>
      <xdr:rowOff>114300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6871809A-5900-DDDE-2EFA-8953BF094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110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118110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A3AB3B35-AAAA-009B-E6AA-4B8A22473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1053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118110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8619625A-664E-163A-9EB6-D0AFD7A2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103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118110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B43676F7-22C3-D5CE-6D03-6FC288128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28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78</xdr:row>
      <xdr:rowOff>0</xdr:rowOff>
    </xdr:from>
    <xdr:to>
      <xdr:col>12</xdr:col>
      <xdr:colOff>613410</xdr:colOff>
      <xdr:row>79</xdr:row>
      <xdr:rowOff>118110</xdr:rowOff>
    </xdr:to>
    <xdr:pic>
      <xdr:nvPicPr>
        <xdr:cNvPr id="46" name="Imagen 45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D08277CA-C396-F329-AF01-2C4FDC64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128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114300</xdr:rowOff>
    </xdr:to>
    <xdr:pic>
      <xdr:nvPicPr>
        <xdr:cNvPr id="47" name="Imagen 46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9B5E147D-21FF-AB26-FC15-CA8625EF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48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79</xdr:row>
      <xdr:rowOff>0</xdr:rowOff>
    </xdr:from>
    <xdr:to>
      <xdr:col>12</xdr:col>
      <xdr:colOff>613410</xdr:colOff>
      <xdr:row>80</xdr:row>
      <xdr:rowOff>114300</xdr:rowOff>
    </xdr:to>
    <xdr:pic>
      <xdr:nvPicPr>
        <xdr:cNvPr id="48" name="Imagen 47">
          <a:hlinkClick xmlns:r="http://schemas.openxmlformats.org/officeDocument/2006/relationships" r:id="rId49" tooltip="Quitar este incidente de la liquidación"/>
          <a:extLst>
            <a:ext uri="{FF2B5EF4-FFF2-40B4-BE49-F238E27FC236}">
              <a16:creationId xmlns:a16="http://schemas.microsoft.com/office/drawing/2014/main" id="{138FB19E-16CD-1685-8944-E4A15C0C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148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118110</xdr:rowOff>
    </xdr:to>
    <xdr:pic>
      <xdr:nvPicPr>
        <xdr:cNvPr id="49" name="Imagen 48" descr="Ver detalle">
          <a:hlinkClick xmlns:r="http://schemas.openxmlformats.org/officeDocument/2006/relationships" r:id="rId50" tooltip="Ver detalle"/>
          <a:extLst>
            <a:ext uri="{FF2B5EF4-FFF2-40B4-BE49-F238E27FC236}">
              <a16:creationId xmlns:a16="http://schemas.microsoft.com/office/drawing/2014/main" id="{24F0E05D-6195-7FB6-E16B-C7E4D87E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67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81</xdr:row>
      <xdr:rowOff>0</xdr:rowOff>
    </xdr:from>
    <xdr:to>
      <xdr:col>12</xdr:col>
      <xdr:colOff>613410</xdr:colOff>
      <xdr:row>82</xdr:row>
      <xdr:rowOff>118110</xdr:rowOff>
    </xdr:to>
    <xdr:pic>
      <xdr:nvPicPr>
        <xdr:cNvPr id="50" name="Imagen 49">
          <a:hlinkClick xmlns:r="http://schemas.openxmlformats.org/officeDocument/2006/relationships" r:id="rId51" tooltip="Quitar este incidente de la liquidación"/>
          <a:extLst>
            <a:ext uri="{FF2B5EF4-FFF2-40B4-BE49-F238E27FC236}">
              <a16:creationId xmlns:a16="http://schemas.microsoft.com/office/drawing/2014/main" id="{CAE6E3DA-3A74-3541-646B-DE11B62C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167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304800</xdr:colOff>
      <xdr:row>83</xdr:row>
      <xdr:rowOff>118110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13C0DDE2-91D5-4492-B3BE-A6438F57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87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82</xdr:row>
      <xdr:rowOff>0</xdr:rowOff>
    </xdr:from>
    <xdr:to>
      <xdr:col>12</xdr:col>
      <xdr:colOff>613410</xdr:colOff>
      <xdr:row>83</xdr:row>
      <xdr:rowOff>118110</xdr:rowOff>
    </xdr:to>
    <xdr:pic>
      <xdr:nvPicPr>
        <xdr:cNvPr id="52" name="Imagen 51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555046D5-6181-B92D-F747-3B6A3994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187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304800</xdr:colOff>
      <xdr:row>84</xdr:row>
      <xdr:rowOff>118110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35F1A2C9-056C-E897-CDB5-67A74AD2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06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83</xdr:row>
      <xdr:rowOff>0</xdr:rowOff>
    </xdr:from>
    <xdr:to>
      <xdr:col>12</xdr:col>
      <xdr:colOff>613410</xdr:colOff>
      <xdr:row>84</xdr:row>
      <xdr:rowOff>118110</xdr:rowOff>
    </xdr:to>
    <xdr:pic>
      <xdr:nvPicPr>
        <xdr:cNvPr id="54" name="Imagen 53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93FC02C6-A9A6-86F4-7A09-9A1B41E54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06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118110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5645A7FF-EE43-A67C-E734-BA76AE1D7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26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</xdr:row>
      <xdr:rowOff>0</xdr:rowOff>
    </xdr:from>
    <xdr:to>
      <xdr:col>12</xdr:col>
      <xdr:colOff>613410</xdr:colOff>
      <xdr:row>63</xdr:row>
      <xdr:rowOff>118110</xdr:rowOff>
    </xdr:to>
    <xdr:pic>
      <xdr:nvPicPr>
        <xdr:cNvPr id="56" name="Imagen 55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19D34312-5819-E50B-C236-ED045672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26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114300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FB1DCD86-A215-04E1-102A-E0D88324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58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</xdr:row>
      <xdr:rowOff>0</xdr:rowOff>
    </xdr:from>
    <xdr:to>
      <xdr:col>12</xdr:col>
      <xdr:colOff>613410</xdr:colOff>
      <xdr:row>67</xdr:row>
      <xdr:rowOff>114300</xdr:rowOff>
    </xdr:to>
    <xdr:pic>
      <xdr:nvPicPr>
        <xdr:cNvPr id="58" name="Imagen 57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499AAFD5-C646-3CB2-4472-C64BFE2F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458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304800</xdr:colOff>
      <xdr:row>69</xdr:row>
      <xdr:rowOff>118110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435A4D1E-39CB-4B6E-398D-761BB268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65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</xdr:row>
      <xdr:rowOff>0</xdr:rowOff>
    </xdr:from>
    <xdr:to>
      <xdr:col>12</xdr:col>
      <xdr:colOff>613410</xdr:colOff>
      <xdr:row>69</xdr:row>
      <xdr:rowOff>118110</xdr:rowOff>
    </xdr:to>
    <xdr:pic>
      <xdr:nvPicPr>
        <xdr:cNvPr id="60" name="Imagen 59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78E9B05E-02B9-82C7-4E26-9137C9EC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65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304800</xdr:colOff>
      <xdr:row>70</xdr:row>
      <xdr:rowOff>118110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4B758D7D-4CA7-BAB7-B41C-4372DBFB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7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69</xdr:row>
      <xdr:rowOff>0</xdr:rowOff>
    </xdr:from>
    <xdr:to>
      <xdr:col>12</xdr:col>
      <xdr:colOff>613410</xdr:colOff>
      <xdr:row>70</xdr:row>
      <xdr:rowOff>118110</xdr:rowOff>
    </xdr:to>
    <xdr:pic>
      <xdr:nvPicPr>
        <xdr:cNvPr id="62" name="Imagen 61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C2306B86-106E-7F76-CA93-BC08F470C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7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118110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2F7569DB-B1D2-4D7D-0843-2F50D9AFF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70</xdr:row>
      <xdr:rowOff>0</xdr:rowOff>
    </xdr:from>
    <xdr:to>
      <xdr:col>12</xdr:col>
      <xdr:colOff>613410</xdr:colOff>
      <xdr:row>71</xdr:row>
      <xdr:rowOff>118110</xdr:rowOff>
    </xdr:to>
    <xdr:pic>
      <xdr:nvPicPr>
        <xdr:cNvPr id="64" name="Imagen 63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5FA9910A-F8C4-B94F-6387-6B463C489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304800</xdr:colOff>
      <xdr:row>72</xdr:row>
      <xdr:rowOff>118110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44E5B2D1-0D4E-9A87-5D0A-9D0B28550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044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71</xdr:row>
      <xdr:rowOff>0</xdr:rowOff>
    </xdr:from>
    <xdr:to>
      <xdr:col>12</xdr:col>
      <xdr:colOff>613410</xdr:colOff>
      <xdr:row>72</xdr:row>
      <xdr:rowOff>118110</xdr:rowOff>
    </xdr:to>
    <xdr:pic>
      <xdr:nvPicPr>
        <xdr:cNvPr id="66" name="Imagen 65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226F1748-BC25-DEA7-2225-5E32C704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044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304800</xdr:colOff>
      <xdr:row>73</xdr:row>
      <xdr:rowOff>118110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53FE15AE-82B6-B223-FF93-648E3B05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17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72</xdr:row>
      <xdr:rowOff>0</xdr:rowOff>
    </xdr:from>
    <xdr:to>
      <xdr:col>12</xdr:col>
      <xdr:colOff>613410</xdr:colOff>
      <xdr:row>73</xdr:row>
      <xdr:rowOff>118110</xdr:rowOff>
    </xdr:to>
    <xdr:pic>
      <xdr:nvPicPr>
        <xdr:cNvPr id="68" name="Imagen 67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87104786-CD3F-8417-8FF0-A8F2419C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17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118110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B0D6B1C6-12DB-33B8-2E14-F414130D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73</xdr:row>
      <xdr:rowOff>0</xdr:rowOff>
    </xdr:from>
    <xdr:to>
      <xdr:col>12</xdr:col>
      <xdr:colOff>613410</xdr:colOff>
      <xdr:row>74</xdr:row>
      <xdr:rowOff>118110</xdr:rowOff>
    </xdr:to>
    <xdr:pic>
      <xdr:nvPicPr>
        <xdr:cNvPr id="70" name="Imagen 69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E058618B-8BD7-28A7-B2E6-090D8B03D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118110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CAB08CA6-1E82-1871-BCEE-31D8DF35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43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74</xdr:row>
      <xdr:rowOff>0</xdr:rowOff>
    </xdr:from>
    <xdr:to>
      <xdr:col>12</xdr:col>
      <xdr:colOff>613410</xdr:colOff>
      <xdr:row>75</xdr:row>
      <xdr:rowOff>118110</xdr:rowOff>
    </xdr:to>
    <xdr:pic>
      <xdr:nvPicPr>
        <xdr:cNvPr id="72" name="Imagen 71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628B4ACD-E4EA-5D6E-258E-503E7E0E7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43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118110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BE05F92-EC1F-F3B3-245F-4DFF7740F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56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75</xdr:row>
      <xdr:rowOff>0</xdr:rowOff>
    </xdr:from>
    <xdr:to>
      <xdr:col>12</xdr:col>
      <xdr:colOff>613410</xdr:colOff>
      <xdr:row>76</xdr:row>
      <xdr:rowOff>118110</xdr:rowOff>
    </xdr:to>
    <xdr:pic>
      <xdr:nvPicPr>
        <xdr:cNvPr id="74" name="Imagen 73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1F4A59AA-99A6-CE41-2237-4FEA1B01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56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118110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1EDF240A-6A69-1433-00B7-AC4A183C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76</xdr:row>
      <xdr:rowOff>0</xdr:rowOff>
    </xdr:from>
    <xdr:to>
      <xdr:col>12</xdr:col>
      <xdr:colOff>613410</xdr:colOff>
      <xdr:row>77</xdr:row>
      <xdr:rowOff>118110</xdr:rowOff>
    </xdr:to>
    <xdr:pic>
      <xdr:nvPicPr>
        <xdr:cNvPr id="76" name="Imagen 75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6835DF1-DA23-ED51-441E-5FA208A0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118110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ABC5D99F-F673-EC68-0BC0-FA54FD0A2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826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77</xdr:row>
      <xdr:rowOff>0</xdr:rowOff>
    </xdr:from>
    <xdr:to>
      <xdr:col>12</xdr:col>
      <xdr:colOff>613410</xdr:colOff>
      <xdr:row>78</xdr:row>
      <xdr:rowOff>118110</xdr:rowOff>
    </xdr:to>
    <xdr:pic>
      <xdr:nvPicPr>
        <xdr:cNvPr id="78" name="Imagen 77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29623380-3B58-8C2E-5AB2-E6C073BFF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826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118110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91A19532-3306-E12A-AB2E-3DD3E07F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957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</xdr:row>
      <xdr:rowOff>0</xdr:rowOff>
    </xdr:from>
    <xdr:to>
      <xdr:col>12</xdr:col>
      <xdr:colOff>613410</xdr:colOff>
      <xdr:row>66</xdr:row>
      <xdr:rowOff>118110</xdr:rowOff>
    </xdr:to>
    <xdr:pic>
      <xdr:nvPicPr>
        <xdr:cNvPr id="80" name="Imagen 79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E1D7A605-4874-700B-52CC-3FD385038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957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118110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AC69E99A-2A2D-B861-DACF-FBA1A4B2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415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</xdr:row>
      <xdr:rowOff>0</xdr:rowOff>
    </xdr:from>
    <xdr:to>
      <xdr:col>12</xdr:col>
      <xdr:colOff>613410</xdr:colOff>
      <xdr:row>65</xdr:row>
      <xdr:rowOff>118110</xdr:rowOff>
    </xdr:to>
    <xdr:pic>
      <xdr:nvPicPr>
        <xdr:cNvPr id="82" name="Imagen 81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E71C847D-B22E-1585-32EC-53A65FDA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415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118110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B0DBDB72-B297-0932-F7F0-3743A0305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69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118110</xdr:rowOff>
    </xdr:to>
    <xdr:pic>
      <xdr:nvPicPr>
        <xdr:cNvPr id="84" name="Imagen 83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BFBD247C-3069-D4CC-66B1-B3807370C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88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114300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B34A0D8E-318C-455A-BD80-548EFE53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118110</xdr:rowOff>
    </xdr:to>
    <xdr:pic>
      <xdr:nvPicPr>
        <xdr:cNvPr id="86" name="Imagen 85" descr="Ver detalle">
          <a:hlinkClick xmlns:r="http://schemas.openxmlformats.org/officeDocument/2006/relationships" r:id="rId50" tooltip="Ver detalle"/>
          <a:extLst>
            <a:ext uri="{FF2B5EF4-FFF2-40B4-BE49-F238E27FC236}">
              <a16:creationId xmlns:a16="http://schemas.microsoft.com/office/drawing/2014/main" id="{33DBD3AC-8CBD-4FAE-B862-6D1A6E5F1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27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118110</xdr:rowOff>
    </xdr:to>
    <xdr:pic>
      <xdr:nvPicPr>
        <xdr:cNvPr id="87" name="Imagen 86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8C6A3A9B-E74A-55D5-B39D-7D92D3742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7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118110</xdr:rowOff>
    </xdr:to>
    <xdr:pic>
      <xdr:nvPicPr>
        <xdr:cNvPr id="88" name="Imagen 87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4A625CF6-58FC-30A6-37C7-5789DCD7E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66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304800</xdr:colOff>
      <xdr:row>97</xdr:row>
      <xdr:rowOff>114300</xdr:rowOff>
    </xdr:to>
    <xdr:pic>
      <xdr:nvPicPr>
        <xdr:cNvPr id="89" name="Imagen 88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7CE07B55-3985-1F19-D816-FA7017E90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8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304800</xdr:colOff>
      <xdr:row>101</xdr:row>
      <xdr:rowOff>106680</xdr:rowOff>
    </xdr:to>
    <xdr:pic>
      <xdr:nvPicPr>
        <xdr:cNvPr id="90" name="Imagen 89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DEFAB668-8D1B-D475-32C6-F213FF56E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205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121920</xdr:rowOff>
    </xdr:to>
    <xdr:pic>
      <xdr:nvPicPr>
        <xdr:cNvPr id="91" name="Imagen 90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6AEB53BD-9B4F-2646-2D8C-341637AC2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0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121920</xdr:rowOff>
    </xdr:to>
    <xdr:pic>
      <xdr:nvPicPr>
        <xdr:cNvPr id="92" name="Imagen 91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BD423148-E424-8A87-91F6-C8248E15E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17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121920</xdr:rowOff>
    </xdr:to>
    <xdr:pic>
      <xdr:nvPicPr>
        <xdr:cNvPr id="93" name="Imagen 92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BA27639A-3304-3A64-D650-BC320E34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30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304800</xdr:colOff>
      <xdr:row>113</xdr:row>
      <xdr:rowOff>121920</xdr:rowOff>
    </xdr:to>
    <xdr:pic>
      <xdr:nvPicPr>
        <xdr:cNvPr id="94" name="Imagen 93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B551D130-2BBE-FCE4-B9C7-4B304A53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121920</xdr:rowOff>
    </xdr:to>
    <xdr:pic>
      <xdr:nvPicPr>
        <xdr:cNvPr id="95" name="Imagen 94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39F22336-8A93-7FFE-235A-615DCC14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567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121920</xdr:rowOff>
    </xdr:to>
    <xdr:pic>
      <xdr:nvPicPr>
        <xdr:cNvPr id="96" name="Imagen 95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3405D32F-6DD3-E2F8-799A-90194DEA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69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304800</xdr:colOff>
      <xdr:row>107</xdr:row>
      <xdr:rowOff>121920</xdr:rowOff>
    </xdr:to>
    <xdr:pic>
      <xdr:nvPicPr>
        <xdr:cNvPr id="97" name="Imagen 96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9727BC85-E19F-4C16-35C1-72DE444A7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82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98" name="Imagen 97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6E593D64-6F5F-7600-08E1-307BB1E5A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84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99" name="Imagen 98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93520618-5343-493B-0088-EE318D369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119</xdr:row>
      <xdr:rowOff>0</xdr:rowOff>
    </xdr:from>
    <xdr:to>
      <xdr:col>12</xdr:col>
      <xdr:colOff>617220</xdr:colOff>
      <xdr:row>120</xdr:row>
      <xdr:rowOff>114300</xdr:rowOff>
    </xdr:to>
    <xdr:pic>
      <xdr:nvPicPr>
        <xdr:cNvPr id="100" name="Imagen 99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62DE5D90-8AB9-E6B3-0A20-311169A8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121920</xdr:rowOff>
    </xdr:to>
    <xdr:pic>
      <xdr:nvPicPr>
        <xdr:cNvPr id="101" name="Imagen 100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EF2DB81E-7699-8D5A-2F17-891457C1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118</xdr:row>
      <xdr:rowOff>0</xdr:rowOff>
    </xdr:from>
    <xdr:to>
      <xdr:col>12</xdr:col>
      <xdr:colOff>617220</xdr:colOff>
      <xdr:row>119</xdr:row>
      <xdr:rowOff>121920</xdr:rowOff>
    </xdr:to>
    <xdr:pic>
      <xdr:nvPicPr>
        <xdr:cNvPr id="102" name="Imagen 101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143C4D6-7699-E4D4-E859-21C079C75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103" name="Imagen 102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F39FB49B-2F96-7560-E642-76EA01DA5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2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121920</xdr:rowOff>
    </xdr:to>
    <xdr:pic>
      <xdr:nvPicPr>
        <xdr:cNvPr id="104" name="Imagen 103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DBFA9210-DAE5-3B4D-4F0F-59CDCF0A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54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121920</xdr:rowOff>
    </xdr:to>
    <xdr:pic>
      <xdr:nvPicPr>
        <xdr:cNvPr id="105" name="Imagen 104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C4F26C62-0C06-D1BC-56AA-12A24C25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47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121920</xdr:rowOff>
    </xdr:to>
    <xdr:pic>
      <xdr:nvPicPr>
        <xdr:cNvPr id="106" name="Imagen 105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C56D2F11-8EFB-0ECD-C4E8-DA198D2C8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66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121920</xdr:rowOff>
    </xdr:to>
    <xdr:pic>
      <xdr:nvPicPr>
        <xdr:cNvPr id="107" name="Imagen 106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68BDB114-C34A-8484-B60E-D1C1F533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86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121920</xdr:rowOff>
    </xdr:to>
    <xdr:pic>
      <xdr:nvPicPr>
        <xdr:cNvPr id="108" name="Imagen 107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84535085-2B29-37E7-F833-2D7F94F5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05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304800</xdr:colOff>
      <xdr:row>136</xdr:row>
      <xdr:rowOff>121920</xdr:rowOff>
    </xdr:to>
    <xdr:pic>
      <xdr:nvPicPr>
        <xdr:cNvPr id="109" name="Imagen 108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3CAF14A9-E6C7-FE7C-1321-D7C942412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64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121920</xdr:rowOff>
    </xdr:to>
    <xdr:pic>
      <xdr:nvPicPr>
        <xdr:cNvPr id="110" name="Imagen 109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45E7A771-97C6-BF6A-9228-B2B215973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91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114300</xdr:rowOff>
    </xdr:to>
    <xdr:pic>
      <xdr:nvPicPr>
        <xdr:cNvPr id="111" name="Imagen 110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508AA1B-46D7-A587-4814-C1E50B8A6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73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121920</xdr:rowOff>
    </xdr:to>
    <xdr:pic>
      <xdr:nvPicPr>
        <xdr:cNvPr id="112" name="Imagen 111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5B2D06E3-B63F-2BB0-D467-646882332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145</xdr:row>
      <xdr:rowOff>0</xdr:rowOff>
    </xdr:from>
    <xdr:to>
      <xdr:col>12</xdr:col>
      <xdr:colOff>617220</xdr:colOff>
      <xdr:row>146</xdr:row>
      <xdr:rowOff>121920</xdr:rowOff>
    </xdr:to>
    <xdr:pic>
      <xdr:nvPicPr>
        <xdr:cNvPr id="113" name="Imagen 112">
          <a:hlinkClick xmlns:r="http://schemas.openxmlformats.org/officeDocument/2006/relationships" r:id="rId110" tooltip="Quitar este incidente de la liquidación"/>
          <a:extLst>
            <a:ext uri="{FF2B5EF4-FFF2-40B4-BE49-F238E27FC236}">
              <a16:creationId xmlns:a16="http://schemas.microsoft.com/office/drawing/2014/main" id="{43A6A3D1-0CA2-8ACD-D285-6D2B7770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121920</xdr:rowOff>
    </xdr:to>
    <xdr:pic>
      <xdr:nvPicPr>
        <xdr:cNvPr id="114" name="Imagen 113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D4344CA6-AAC8-98FB-BDFC-8DF04FAAF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96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146</xdr:row>
      <xdr:rowOff>0</xdr:rowOff>
    </xdr:from>
    <xdr:to>
      <xdr:col>12</xdr:col>
      <xdr:colOff>617220</xdr:colOff>
      <xdr:row>147</xdr:row>
      <xdr:rowOff>121920</xdr:rowOff>
    </xdr:to>
    <xdr:pic>
      <xdr:nvPicPr>
        <xdr:cNvPr id="115" name="Imagen 114">
          <a:hlinkClick xmlns:r="http://schemas.openxmlformats.org/officeDocument/2006/relationships" r:id="rId112" tooltip="Quitar este incidente de la liquidación"/>
          <a:extLst>
            <a:ext uri="{FF2B5EF4-FFF2-40B4-BE49-F238E27FC236}">
              <a16:creationId xmlns:a16="http://schemas.microsoft.com/office/drawing/2014/main" id="{20ED5FCE-A3E1-5C6A-46D8-D6F00780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296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114300</xdr:rowOff>
    </xdr:to>
    <xdr:pic>
      <xdr:nvPicPr>
        <xdr:cNvPr id="116" name="Imagen 115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1A5A13C1-E1CA-66BB-0151-BC63B7AB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0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12</xdr:col>
      <xdr:colOff>304800</xdr:colOff>
      <xdr:row>153</xdr:row>
      <xdr:rowOff>114300</xdr:rowOff>
    </xdr:to>
    <xdr:pic>
      <xdr:nvPicPr>
        <xdr:cNvPr id="117" name="Imagen 116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5F5BDF70-F56B-43F9-965A-E6D15434C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2881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121920</xdr:rowOff>
    </xdr:to>
    <xdr:pic>
      <xdr:nvPicPr>
        <xdr:cNvPr id="118" name="Imagen 117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8DDD6074-AC56-06A1-4F04-23820656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076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304800</xdr:colOff>
      <xdr:row>156</xdr:row>
      <xdr:rowOff>121920</xdr:rowOff>
    </xdr:to>
    <xdr:pic>
      <xdr:nvPicPr>
        <xdr:cNvPr id="119" name="Imagen 118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A392C24C-9279-58DA-897B-61B4BD0A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27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120" name="Imagen 119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4E6727B3-8FC4-B0C9-22DE-C223ADAE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12</xdr:col>
      <xdr:colOff>304800</xdr:colOff>
      <xdr:row>152</xdr:row>
      <xdr:rowOff>121920</xdr:rowOff>
    </xdr:to>
    <xdr:pic>
      <xdr:nvPicPr>
        <xdr:cNvPr id="121" name="Imagen 120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D60E9377-A964-B205-C3B1-53B75C70B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662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122" name="Imagen 121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912D9C6B-01ED-3957-818D-E35B4C04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09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123" name="Imagen 122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294401EE-A424-0CB6-B328-C87C85BA0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36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121920</xdr:rowOff>
    </xdr:to>
    <xdr:pic>
      <xdr:nvPicPr>
        <xdr:cNvPr id="124" name="Imagen 123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FF1D8E0A-80E5-7686-D2F8-EECBED82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549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121920</xdr:rowOff>
    </xdr:to>
    <xdr:pic>
      <xdr:nvPicPr>
        <xdr:cNvPr id="125" name="Imagen 124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85BFF660-E58A-0F17-669F-1E0764B1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73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121920</xdr:rowOff>
    </xdr:to>
    <xdr:pic>
      <xdr:nvPicPr>
        <xdr:cNvPr id="126" name="Imagen 125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206E7232-84E0-D9F5-609A-0CDD02D9F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9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121920</xdr:rowOff>
    </xdr:to>
    <xdr:pic>
      <xdr:nvPicPr>
        <xdr:cNvPr id="127" name="Imagen 126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F9F5BCC9-2E88-9666-FA24-BDDDB4A4A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4100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121920</xdr:rowOff>
    </xdr:to>
    <xdr:pic>
      <xdr:nvPicPr>
        <xdr:cNvPr id="128" name="Imagen 127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9516FC7-FE6D-1198-70DB-93ABF08AB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4283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121920</xdr:rowOff>
    </xdr:to>
    <xdr:pic>
      <xdr:nvPicPr>
        <xdr:cNvPr id="129" name="Imagen 128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EAF5A395-515F-2EF2-56CF-EAB8735A5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446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121920</xdr:rowOff>
    </xdr:to>
    <xdr:pic>
      <xdr:nvPicPr>
        <xdr:cNvPr id="130" name="Imagen 129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C0087813-089C-5F7D-E480-E1058532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25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114300</xdr:rowOff>
    </xdr:to>
    <xdr:pic>
      <xdr:nvPicPr>
        <xdr:cNvPr id="131" name="Imagen 130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B7B5DC8F-3906-67DA-E234-B23C1D08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2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304800</xdr:colOff>
      <xdr:row>172</xdr:row>
      <xdr:rowOff>121920</xdr:rowOff>
    </xdr:to>
    <xdr:pic>
      <xdr:nvPicPr>
        <xdr:cNvPr id="132" name="Imagen 131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7C773F1E-5251-DD13-180C-02E48F93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36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304800</xdr:colOff>
      <xdr:row>181</xdr:row>
      <xdr:rowOff>114300</xdr:rowOff>
    </xdr:to>
    <xdr:pic>
      <xdr:nvPicPr>
        <xdr:cNvPr id="133" name="Imagen 132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3B1B5586-95AA-5314-FCF0-6D204052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38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12</xdr:col>
      <xdr:colOff>617220</xdr:colOff>
      <xdr:row>181</xdr:row>
      <xdr:rowOff>114300</xdr:rowOff>
    </xdr:to>
    <xdr:pic>
      <xdr:nvPicPr>
        <xdr:cNvPr id="134" name="Imagen 133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21B20A4-2D04-BB70-9EA3-0DA5B7E6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38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121920</xdr:rowOff>
    </xdr:to>
    <xdr:pic>
      <xdr:nvPicPr>
        <xdr:cNvPr id="135" name="Imagen 134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B853FD92-4502-648D-C6EE-7ED79BA82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51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12</xdr:col>
      <xdr:colOff>617220</xdr:colOff>
      <xdr:row>180</xdr:row>
      <xdr:rowOff>121920</xdr:rowOff>
    </xdr:to>
    <xdr:pic>
      <xdr:nvPicPr>
        <xdr:cNvPr id="136" name="Imagen 135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27BCF3B8-CB3F-293A-4243-D1D6174E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440" y="351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121920</xdr:rowOff>
    </xdr:to>
    <xdr:pic>
      <xdr:nvPicPr>
        <xdr:cNvPr id="137" name="Imagen 136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AE37F837-9E34-1EC5-A2DB-7A6EF593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53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114300</xdr:rowOff>
    </xdr:to>
    <xdr:pic>
      <xdr:nvPicPr>
        <xdr:cNvPr id="138" name="Imagen 137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4F25A905-3114-40BF-BCBF-34507D4E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355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121920</xdr:rowOff>
    </xdr:to>
    <xdr:pic>
      <xdr:nvPicPr>
        <xdr:cNvPr id="139" name="Imagen 138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F2076221-2130-C989-9A39-8332E180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36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121920</xdr:rowOff>
    </xdr:to>
    <xdr:pic>
      <xdr:nvPicPr>
        <xdr:cNvPr id="140" name="Imagen 139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616EEE8B-428F-3D3D-BB3B-3867D1C5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392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121920</xdr:rowOff>
    </xdr:to>
    <xdr:pic>
      <xdr:nvPicPr>
        <xdr:cNvPr id="141" name="Imagen 140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1AF47E81-4880-A969-5C1F-CA4EDD1CC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4197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121920</xdr:rowOff>
    </xdr:to>
    <xdr:pic>
      <xdr:nvPicPr>
        <xdr:cNvPr id="142" name="Imagen 141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245C0D01-E36F-9558-7631-C6374436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121920</xdr:rowOff>
    </xdr:to>
    <xdr:pic>
      <xdr:nvPicPr>
        <xdr:cNvPr id="143" name="Imagen 142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C288ED0F-30EC-7DA3-3FD9-0FAF123C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450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121920</xdr:rowOff>
    </xdr:to>
    <xdr:pic>
      <xdr:nvPicPr>
        <xdr:cNvPr id="144" name="Imagen 143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69B02140-62BC-9A3A-9013-129B8587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478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121920</xdr:rowOff>
    </xdr:to>
    <xdr:pic>
      <xdr:nvPicPr>
        <xdr:cNvPr id="145" name="Imagen 144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1212229C-5494-D408-5E93-D1EEB0E8B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121920</xdr:rowOff>
    </xdr:to>
    <xdr:pic>
      <xdr:nvPicPr>
        <xdr:cNvPr id="146" name="Imagen 145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B173DF6C-1C9A-91C5-DBBD-47A8871D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518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12</xdr:col>
      <xdr:colOff>304800</xdr:colOff>
      <xdr:row>206</xdr:row>
      <xdr:rowOff>121920</xdr:rowOff>
    </xdr:to>
    <xdr:pic>
      <xdr:nvPicPr>
        <xdr:cNvPr id="147" name="Imagen 146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6906B41E-D4ED-2457-D72B-690E98730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546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12</xdr:col>
      <xdr:colOff>304800</xdr:colOff>
      <xdr:row>207</xdr:row>
      <xdr:rowOff>121920</xdr:rowOff>
    </xdr:to>
    <xdr:pic>
      <xdr:nvPicPr>
        <xdr:cNvPr id="148" name="Imagen 147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A061E839-7131-A3D9-FB3F-6487898F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55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121920</xdr:rowOff>
    </xdr:to>
    <xdr:pic>
      <xdr:nvPicPr>
        <xdr:cNvPr id="149" name="Imagen 148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88B51A30-6B33-424A-257B-2E95F7C0A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121920</xdr:rowOff>
    </xdr:to>
    <xdr:pic>
      <xdr:nvPicPr>
        <xdr:cNvPr id="150" name="Imagen 149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96E753CA-4868-A598-150A-1DDD9FA5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614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121920</xdr:rowOff>
    </xdr:to>
    <xdr:pic>
      <xdr:nvPicPr>
        <xdr:cNvPr id="151" name="Imagen 150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4CAE90CC-F0D8-E479-185B-549BB747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632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121920</xdr:rowOff>
    </xdr:to>
    <xdr:pic>
      <xdr:nvPicPr>
        <xdr:cNvPr id="152" name="Imagen 151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83D5DB39-4BBD-75E2-5BC3-7F2A0C20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650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121920</xdr:rowOff>
    </xdr:to>
    <xdr:pic>
      <xdr:nvPicPr>
        <xdr:cNvPr id="153" name="Imagen 152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ABF50F0B-76EB-A43B-FB34-B634A7C7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6693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121920</xdr:rowOff>
    </xdr:to>
    <xdr:pic>
      <xdr:nvPicPr>
        <xdr:cNvPr id="154" name="Imagen 153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361792F9-C251-A118-D243-5B3181A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121920</xdr:rowOff>
    </xdr:to>
    <xdr:pic>
      <xdr:nvPicPr>
        <xdr:cNvPr id="155" name="Imagen 154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67BE45E-3DB7-D462-8A58-E5827576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06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121920</xdr:rowOff>
    </xdr:to>
    <xdr:pic>
      <xdr:nvPicPr>
        <xdr:cNvPr id="156" name="Imagen 155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1C8DFF2A-37DB-6968-504F-5C06F11F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24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304800</xdr:colOff>
      <xdr:row>199</xdr:row>
      <xdr:rowOff>121920</xdr:rowOff>
    </xdr:to>
    <xdr:pic>
      <xdr:nvPicPr>
        <xdr:cNvPr id="157" name="Imagen 156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3C97D94D-0A5E-1A4C-6A67-115791F1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427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12</xdr:col>
      <xdr:colOff>304800</xdr:colOff>
      <xdr:row>200</xdr:row>
      <xdr:rowOff>121920</xdr:rowOff>
    </xdr:to>
    <xdr:pic>
      <xdr:nvPicPr>
        <xdr:cNvPr id="158" name="Imagen 157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8F81CE9B-78A4-C937-068E-155ADE370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61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121920</xdr:rowOff>
    </xdr:to>
    <xdr:pic>
      <xdr:nvPicPr>
        <xdr:cNvPr id="159" name="Imagen 158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6C924779-90B5-1E95-8601-BA00705D8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79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304800</xdr:colOff>
      <xdr:row>202</xdr:row>
      <xdr:rowOff>121920</xdr:rowOff>
    </xdr:to>
    <xdr:pic>
      <xdr:nvPicPr>
        <xdr:cNvPr id="160" name="Imagen 159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98008741-9757-3AE9-36FF-55AED15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797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121920</xdr:rowOff>
    </xdr:to>
    <xdr:pic>
      <xdr:nvPicPr>
        <xdr:cNvPr id="161" name="Imagen 160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6B0709D5-0206-9929-A582-D8DE08D6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81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304800</xdr:colOff>
      <xdr:row>190</xdr:row>
      <xdr:rowOff>114300</xdr:rowOff>
    </xdr:to>
    <xdr:pic>
      <xdr:nvPicPr>
        <xdr:cNvPr id="162" name="Imagen 161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EC37175F-BE98-EBD2-66CD-E42BC0D0E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3220" y="83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114300</xdr:rowOff>
    </xdr:to>
    <xdr:pic>
      <xdr:nvPicPr>
        <xdr:cNvPr id="163" name="Imagen 162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EA403EFD-AB77-C020-21FA-1DF2FE3D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33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12</xdr:col>
      <xdr:colOff>304800</xdr:colOff>
      <xdr:row>218</xdr:row>
      <xdr:rowOff>114300</xdr:rowOff>
    </xdr:to>
    <xdr:pic>
      <xdr:nvPicPr>
        <xdr:cNvPr id="164" name="Imagen 163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54AD572-FCF4-FC8E-C52E-04C44196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5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114300</xdr:rowOff>
    </xdr:to>
    <xdr:pic>
      <xdr:nvPicPr>
        <xdr:cNvPr id="165" name="Imagen 164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5CBD0BE0-B55C-F972-F164-AD714E83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41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12</xdr:col>
      <xdr:colOff>304800</xdr:colOff>
      <xdr:row>243</xdr:row>
      <xdr:rowOff>114300</xdr:rowOff>
    </xdr:to>
    <xdr:pic>
      <xdr:nvPicPr>
        <xdr:cNvPr id="166" name="Imagen 165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F460E208-7EC9-02A3-44EA-A7D6A378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66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12</xdr:col>
      <xdr:colOff>304800</xdr:colOff>
      <xdr:row>220</xdr:row>
      <xdr:rowOff>114300</xdr:rowOff>
    </xdr:to>
    <xdr:pic>
      <xdr:nvPicPr>
        <xdr:cNvPr id="167" name="Imagen 166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93E8B4BE-7711-5856-4340-767B7B1B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90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12</xdr:col>
      <xdr:colOff>304800</xdr:colOff>
      <xdr:row>238</xdr:row>
      <xdr:rowOff>114300</xdr:rowOff>
    </xdr:to>
    <xdr:pic>
      <xdr:nvPicPr>
        <xdr:cNvPr id="168" name="Imagen 167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EB6A0049-8209-F032-D367-6C0897A9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169" name="Imagen 168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B0053C4C-E5F6-0979-AFB7-7B8B0D92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18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12</xdr:col>
      <xdr:colOff>304800</xdr:colOff>
      <xdr:row>240</xdr:row>
      <xdr:rowOff>114300</xdr:rowOff>
    </xdr:to>
    <xdr:pic>
      <xdr:nvPicPr>
        <xdr:cNvPr id="170" name="Imagen 169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C685775B-DD1F-CBE9-8BA3-27AD01A0E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42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171" name="Imagen 170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2A85380A-CACC-014E-AD30-381D32A9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67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172" name="Imagen 171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8EEC9C27-DA62-D892-6727-09BE7800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70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114300</xdr:rowOff>
    </xdr:to>
    <xdr:pic>
      <xdr:nvPicPr>
        <xdr:cNvPr id="173" name="Imagen 172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9536E397-9D54-5020-88E8-5AE3489E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86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304800</xdr:colOff>
      <xdr:row>226</xdr:row>
      <xdr:rowOff>114300</xdr:rowOff>
    </xdr:to>
    <xdr:pic>
      <xdr:nvPicPr>
        <xdr:cNvPr id="174" name="Imagen 173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BFB1E551-88BA-60C6-F4FC-27D7F7797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02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175" name="Imagen 174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14DA86A1-7B64-7AEA-20A2-57F2A0FC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19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176" name="Imagen 175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32D7E5C8-00B0-CB09-8E2B-DF1CEBD7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35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177" name="Imagen 176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E2B86DBD-C094-1821-2D99-3BA9CA67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51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178" name="Imagen 177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88614247-422F-C0B7-56BA-356C56572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6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179" name="Imagen 178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11E422E3-175F-4194-7E70-8AFFF061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180" name="Imagen 179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D91A7397-F393-EB15-984D-B5F49CB43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00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181" name="Imagen 180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3B32E381-47AF-9A8A-D18C-953FD705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169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182" name="Imagen 181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08F329E0-DAD2-C7DA-013F-ED32D357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33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183" name="Imagen 182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9DE5B4DF-275B-5FB9-B72D-08573A210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49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114300</xdr:rowOff>
    </xdr:to>
    <xdr:pic>
      <xdr:nvPicPr>
        <xdr:cNvPr id="184" name="Imagen 183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BEC8B3C3-ED3D-2F36-16E8-498071676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12</xdr:col>
      <xdr:colOff>304800</xdr:colOff>
      <xdr:row>237</xdr:row>
      <xdr:rowOff>114300</xdr:rowOff>
    </xdr:to>
    <xdr:pic>
      <xdr:nvPicPr>
        <xdr:cNvPr id="185" name="Imagen 184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1786680-754A-836F-7317-2CBCCD67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790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186" name="Imagen 185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15BEB547-A526-9B81-2DD8-8E1F5E97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90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187" name="Imagen 186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F7670AD7-78E4-0814-7DC9-AD8A653D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497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188" name="Imagen 187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258961F9-0F7A-B5A1-DF74-D8E8EAF6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13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114300</xdr:rowOff>
    </xdr:to>
    <xdr:pic>
      <xdr:nvPicPr>
        <xdr:cNvPr id="189" name="Imagen 188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5D1FD7D-3D20-AC91-0166-D0503FCD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30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12</xdr:col>
      <xdr:colOff>304800</xdr:colOff>
      <xdr:row>257</xdr:row>
      <xdr:rowOff>114300</xdr:rowOff>
    </xdr:to>
    <xdr:pic>
      <xdr:nvPicPr>
        <xdr:cNvPr id="190" name="Imagen 189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F465E7E-862D-3A81-A1AC-7295E5C6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464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191" name="Imagen 190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1F5F7B2-059F-072E-B022-561A073E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62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192" name="Imagen 191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2F4680A3-D414-542E-C561-868285E3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790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193" name="Imagen 192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47CCB073-8AE7-034E-A9AC-F75AA372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95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194" name="Imagen 193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2FA6FA36-ACDB-1FB1-5E8D-A0AD14C7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195" name="Imagen 194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FB0E50D7-8AFB-C2CD-8BF3-A08512ACE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27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196" name="Imagen 195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E7A932E7-FB88-765A-F041-04E75F90B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44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104775</xdr:rowOff>
    </xdr:to>
    <xdr:pic>
      <xdr:nvPicPr>
        <xdr:cNvPr id="197" name="Imagen 196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747A976B-F217-F040-03FF-C6CFC3FA3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60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104775</xdr:rowOff>
    </xdr:to>
    <xdr:pic>
      <xdr:nvPicPr>
        <xdr:cNvPr id="198" name="Imagen 197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2D659CCA-EBB4-3904-E9C0-686D08EE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76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199" name="Imagen 198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FE4334C4-11D7-D87B-FC04-B73CE736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200" name="Imagen 199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F4853052-9B9F-44BD-2C75-4D02E2CB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50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201" name="Imagen 200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204F1F6-9AF8-CC72-2572-3FB921F30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578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104775</xdr:rowOff>
    </xdr:to>
    <xdr:pic>
      <xdr:nvPicPr>
        <xdr:cNvPr id="202" name="Imagen 201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0EC4AFA8-2DD6-71A6-5FF2-65029534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07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12</xdr:col>
      <xdr:colOff>304800</xdr:colOff>
      <xdr:row>276</xdr:row>
      <xdr:rowOff>85725</xdr:rowOff>
    </xdr:to>
    <xdr:pic>
      <xdr:nvPicPr>
        <xdr:cNvPr id="203" name="Imagen 202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B829FAA9-A621-505D-52E1-18E0C6FB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36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12</xdr:col>
      <xdr:colOff>304800</xdr:colOff>
      <xdr:row>277</xdr:row>
      <xdr:rowOff>114300</xdr:rowOff>
    </xdr:to>
    <xdr:pic>
      <xdr:nvPicPr>
        <xdr:cNvPr id="204" name="Imagen 203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F24DE7F-FD09-77B9-2291-4F18E0A02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647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12</xdr:col>
      <xdr:colOff>304800</xdr:colOff>
      <xdr:row>278</xdr:row>
      <xdr:rowOff>104775</xdr:rowOff>
    </xdr:to>
    <xdr:pic>
      <xdr:nvPicPr>
        <xdr:cNvPr id="205" name="Imagen 204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2EF5FBF2-F42B-F9B5-1AA7-F40A10CCC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0325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104775</xdr:rowOff>
    </xdr:to>
    <xdr:pic>
      <xdr:nvPicPr>
        <xdr:cNvPr id="206" name="Imagen 205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4A4E993E-F4DF-36E5-0E9B-E4625BA2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73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114300</xdr:rowOff>
    </xdr:to>
    <xdr:pic>
      <xdr:nvPicPr>
        <xdr:cNvPr id="207" name="Imagen 206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68D77C6B-0FC6-DF27-AA70-7048E97E0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114300</xdr:rowOff>
    </xdr:to>
    <xdr:pic>
      <xdr:nvPicPr>
        <xdr:cNvPr id="208" name="Imagen 207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12635335-3497-75D5-B92A-A9559B660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96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12</xdr:col>
      <xdr:colOff>304800</xdr:colOff>
      <xdr:row>314</xdr:row>
      <xdr:rowOff>114300</xdr:rowOff>
    </xdr:to>
    <xdr:pic>
      <xdr:nvPicPr>
        <xdr:cNvPr id="209" name="Imagen 208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52D38E1F-09E8-5DEE-11EC-0F1B19F4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20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114300</xdr:rowOff>
    </xdr:to>
    <xdr:pic>
      <xdr:nvPicPr>
        <xdr:cNvPr id="210" name="Imagen 209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8948FCB4-20E3-7C39-0EBA-39FBB3DB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44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104775</xdr:rowOff>
    </xdr:to>
    <xdr:pic>
      <xdr:nvPicPr>
        <xdr:cNvPr id="211" name="Imagen 210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9BD7AC48-BFBC-9BA3-C4D0-2676E70C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12</xdr:col>
      <xdr:colOff>304800</xdr:colOff>
      <xdr:row>315</xdr:row>
      <xdr:rowOff>114300</xdr:rowOff>
    </xdr:to>
    <xdr:pic>
      <xdr:nvPicPr>
        <xdr:cNvPr id="212" name="Imagen 211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9E70FE91-C5CD-8A88-7BD5-A047F5E2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72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104775</xdr:rowOff>
    </xdr:to>
    <xdr:pic>
      <xdr:nvPicPr>
        <xdr:cNvPr id="213" name="Imagen 212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2C1B707-B4AC-A54E-1E63-850BCF45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114300</xdr:rowOff>
    </xdr:to>
    <xdr:pic>
      <xdr:nvPicPr>
        <xdr:cNvPr id="214" name="Imagen 213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4940C4C8-BF9A-7B6D-8C6B-908ABBFC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13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114300</xdr:rowOff>
    </xdr:to>
    <xdr:pic>
      <xdr:nvPicPr>
        <xdr:cNvPr id="215" name="Imagen 214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3BF9DA9E-F781-B715-8AAD-D29ECE12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3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114300</xdr:rowOff>
    </xdr:to>
    <xdr:pic>
      <xdr:nvPicPr>
        <xdr:cNvPr id="216" name="Imagen 215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F6D1D6FA-A7CD-666C-49D7-E89887634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114300</xdr:rowOff>
    </xdr:to>
    <xdr:pic>
      <xdr:nvPicPr>
        <xdr:cNvPr id="217" name="Imagen 216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11A2F545-83FA-94A8-8F4D-D70310F70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78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114300</xdr:rowOff>
    </xdr:to>
    <xdr:pic>
      <xdr:nvPicPr>
        <xdr:cNvPr id="218" name="Imagen 217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B782AB42-4E18-15AA-6510-9B43FF4D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9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114300</xdr:rowOff>
    </xdr:to>
    <xdr:pic>
      <xdr:nvPicPr>
        <xdr:cNvPr id="219" name="Imagen 218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472A1E09-36CE-BA18-E0C4-111AD32E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1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114300</xdr:rowOff>
    </xdr:to>
    <xdr:pic>
      <xdr:nvPicPr>
        <xdr:cNvPr id="220" name="Imagen 219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482BA811-CC47-25A8-8DCE-5413095C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27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114300</xdr:rowOff>
    </xdr:to>
    <xdr:pic>
      <xdr:nvPicPr>
        <xdr:cNvPr id="221" name="Imagen 220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1B936430-4D04-FF94-F973-A93D4DC7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43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114300</xdr:rowOff>
    </xdr:to>
    <xdr:pic>
      <xdr:nvPicPr>
        <xdr:cNvPr id="222" name="Imagen 221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28561727-AA25-A9CD-7D58-C1691E26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59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114300</xdr:rowOff>
    </xdr:to>
    <xdr:pic>
      <xdr:nvPicPr>
        <xdr:cNvPr id="223" name="Imagen 222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2C8F0C17-A2E3-3ACF-3ABA-CFC1E3D1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76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12</xdr:col>
      <xdr:colOff>304800</xdr:colOff>
      <xdr:row>302</xdr:row>
      <xdr:rowOff>114300</xdr:rowOff>
    </xdr:to>
    <xdr:pic>
      <xdr:nvPicPr>
        <xdr:cNvPr id="224" name="Imagen 223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10825977-FD65-D1C3-2AB7-7149F3D4D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92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114300</xdr:rowOff>
    </xdr:to>
    <xdr:pic>
      <xdr:nvPicPr>
        <xdr:cNvPr id="225" name="Imagen 224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413768DE-95B1-2F0E-60E6-151995A8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908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114300</xdr:rowOff>
    </xdr:to>
    <xdr:pic>
      <xdr:nvPicPr>
        <xdr:cNvPr id="226" name="Imagen 225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394064D7-3452-B41D-63D3-A65A76FA9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2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</xdr:row>
      <xdr:rowOff>0</xdr:rowOff>
    </xdr:from>
    <xdr:to>
      <xdr:col>12</xdr:col>
      <xdr:colOff>619125</xdr:colOff>
      <xdr:row>325</xdr:row>
      <xdr:rowOff>114300</xdr:rowOff>
    </xdr:to>
    <xdr:pic>
      <xdr:nvPicPr>
        <xdr:cNvPr id="227" name="Imagen 226">
          <a:hlinkClick xmlns:r="http://schemas.openxmlformats.org/officeDocument/2006/relationships" r:id="rId224" tooltip="Quitar este incidente de la liquidación"/>
          <a:extLst>
            <a:ext uri="{FF2B5EF4-FFF2-40B4-BE49-F238E27FC236}">
              <a16:creationId xmlns:a16="http://schemas.microsoft.com/office/drawing/2014/main" id="{325087EA-1BB5-67DB-0EA1-952F695D7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62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12</xdr:col>
      <xdr:colOff>304800</xdr:colOff>
      <xdr:row>326</xdr:row>
      <xdr:rowOff>114300</xdr:rowOff>
    </xdr:to>
    <xdr:pic>
      <xdr:nvPicPr>
        <xdr:cNvPr id="228" name="Imagen 227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CA5D55CD-9303-3442-E0F4-0FDF0AA8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5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325</xdr:row>
      <xdr:rowOff>0</xdr:rowOff>
    </xdr:from>
    <xdr:to>
      <xdr:col>12</xdr:col>
      <xdr:colOff>619125</xdr:colOff>
      <xdr:row>326</xdr:row>
      <xdr:rowOff>114300</xdr:rowOff>
    </xdr:to>
    <xdr:pic>
      <xdr:nvPicPr>
        <xdr:cNvPr id="229" name="Imagen 228">
          <a:hlinkClick xmlns:r="http://schemas.openxmlformats.org/officeDocument/2006/relationships" r:id="rId226" tooltip="Quitar este incidente de la liquidación"/>
          <a:extLst>
            <a:ext uri="{FF2B5EF4-FFF2-40B4-BE49-F238E27FC236}">
              <a16:creationId xmlns:a16="http://schemas.microsoft.com/office/drawing/2014/main" id="{F410E70D-D31A-0601-7A8F-A3280246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65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12</xdr:col>
      <xdr:colOff>304800</xdr:colOff>
      <xdr:row>327</xdr:row>
      <xdr:rowOff>114300</xdr:rowOff>
    </xdr:to>
    <xdr:pic>
      <xdr:nvPicPr>
        <xdr:cNvPr id="230" name="Imagen 229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4C486866-E461-F9F2-A352-341AB0F74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67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326</xdr:row>
      <xdr:rowOff>0</xdr:rowOff>
    </xdr:from>
    <xdr:to>
      <xdr:col>12</xdr:col>
      <xdr:colOff>619125</xdr:colOff>
      <xdr:row>327</xdr:row>
      <xdr:rowOff>114300</xdr:rowOff>
    </xdr:to>
    <xdr:pic>
      <xdr:nvPicPr>
        <xdr:cNvPr id="231" name="Imagen 230">
          <a:hlinkClick xmlns:r="http://schemas.openxmlformats.org/officeDocument/2006/relationships" r:id="rId228" tooltip="Quitar este incidente de la liquidación"/>
          <a:extLst>
            <a:ext uri="{FF2B5EF4-FFF2-40B4-BE49-F238E27FC236}">
              <a16:creationId xmlns:a16="http://schemas.microsoft.com/office/drawing/2014/main" id="{FF6C0A2F-38FF-C936-7125-029108F6C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67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304800</xdr:colOff>
      <xdr:row>328</xdr:row>
      <xdr:rowOff>104775</xdr:rowOff>
    </xdr:to>
    <xdr:pic>
      <xdr:nvPicPr>
        <xdr:cNvPr id="232" name="Imagen 231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628C5E96-C028-FE8B-D015-9A7D929B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327</xdr:row>
      <xdr:rowOff>0</xdr:rowOff>
    </xdr:from>
    <xdr:to>
      <xdr:col>12</xdr:col>
      <xdr:colOff>619125</xdr:colOff>
      <xdr:row>328</xdr:row>
      <xdr:rowOff>104775</xdr:rowOff>
    </xdr:to>
    <xdr:pic>
      <xdr:nvPicPr>
        <xdr:cNvPr id="233" name="Imagen 232">
          <a:hlinkClick xmlns:r="http://schemas.openxmlformats.org/officeDocument/2006/relationships" r:id="rId230" tooltip="Quitar este incidente de la liquidación"/>
          <a:extLst>
            <a:ext uri="{FF2B5EF4-FFF2-40B4-BE49-F238E27FC236}">
              <a16:creationId xmlns:a16="http://schemas.microsoft.com/office/drawing/2014/main" id="{432F6C44-A26C-0E17-1102-6F96600E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114300</xdr:rowOff>
    </xdr:to>
    <xdr:pic>
      <xdr:nvPicPr>
        <xdr:cNvPr id="234" name="Imagen 233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1B5F17C1-96CF-1CFE-3DD1-8979AEE9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18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</xdr:row>
      <xdr:rowOff>0</xdr:rowOff>
    </xdr:from>
    <xdr:to>
      <xdr:col>12</xdr:col>
      <xdr:colOff>619125</xdr:colOff>
      <xdr:row>323</xdr:row>
      <xdr:rowOff>114300</xdr:rowOff>
    </xdr:to>
    <xdr:pic>
      <xdr:nvPicPr>
        <xdr:cNvPr id="235" name="Imagen 234">
          <a:hlinkClick xmlns:r="http://schemas.openxmlformats.org/officeDocument/2006/relationships" r:id="rId232" tooltip="Quitar este incidente de la liquidación"/>
          <a:extLst>
            <a:ext uri="{FF2B5EF4-FFF2-40B4-BE49-F238E27FC236}">
              <a16:creationId xmlns:a16="http://schemas.microsoft.com/office/drawing/2014/main" id="{60DA76D7-A8D6-1596-2B3C-022287B3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718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114300</xdr:rowOff>
    </xdr:to>
    <xdr:pic>
      <xdr:nvPicPr>
        <xdr:cNvPr id="236" name="Imagen 235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D585C963-47C1-21FD-4A4F-BA8288486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348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</xdr:row>
      <xdr:rowOff>0</xdr:rowOff>
    </xdr:from>
    <xdr:to>
      <xdr:col>12</xdr:col>
      <xdr:colOff>619125</xdr:colOff>
      <xdr:row>324</xdr:row>
      <xdr:rowOff>114300</xdr:rowOff>
    </xdr:to>
    <xdr:pic>
      <xdr:nvPicPr>
        <xdr:cNvPr id="237" name="Imagen 236">
          <a:hlinkClick xmlns:r="http://schemas.openxmlformats.org/officeDocument/2006/relationships" r:id="rId234" tooltip="Quitar este incidente de la liquidación"/>
          <a:extLst>
            <a:ext uri="{FF2B5EF4-FFF2-40B4-BE49-F238E27FC236}">
              <a16:creationId xmlns:a16="http://schemas.microsoft.com/office/drawing/2014/main" id="{3B7E96E3-7327-F077-5AF2-97C25B1E2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7348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114300</xdr:rowOff>
    </xdr:to>
    <xdr:pic>
      <xdr:nvPicPr>
        <xdr:cNvPr id="238" name="Imagen 237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07DF748A-C3F8-BD9B-7FFB-60ABDB84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751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</xdr:row>
      <xdr:rowOff>0</xdr:rowOff>
    </xdr:from>
    <xdr:to>
      <xdr:col>12</xdr:col>
      <xdr:colOff>619125</xdr:colOff>
      <xdr:row>320</xdr:row>
      <xdr:rowOff>114300</xdr:rowOff>
    </xdr:to>
    <xdr:pic>
      <xdr:nvPicPr>
        <xdr:cNvPr id="239" name="Imagen 238">
          <a:hlinkClick xmlns:r="http://schemas.openxmlformats.org/officeDocument/2006/relationships" r:id="rId236" tooltip="Quitar este incidente de la liquidación"/>
          <a:extLst>
            <a:ext uri="{FF2B5EF4-FFF2-40B4-BE49-F238E27FC236}">
              <a16:creationId xmlns:a16="http://schemas.microsoft.com/office/drawing/2014/main" id="{64B39643-EB15-CB63-7E7D-16E3046A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751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104775</xdr:rowOff>
    </xdr:to>
    <xdr:pic>
      <xdr:nvPicPr>
        <xdr:cNvPr id="240" name="Imagen 239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18AD96A9-AA21-CCB0-A6A9-D7712149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52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335</xdr:row>
      <xdr:rowOff>0</xdr:rowOff>
    </xdr:from>
    <xdr:to>
      <xdr:col>12</xdr:col>
      <xdr:colOff>619125</xdr:colOff>
      <xdr:row>336</xdr:row>
      <xdr:rowOff>104775</xdr:rowOff>
    </xdr:to>
    <xdr:pic>
      <xdr:nvPicPr>
        <xdr:cNvPr id="241" name="Imagen 240">
          <a:hlinkClick xmlns:r="http://schemas.openxmlformats.org/officeDocument/2006/relationships" r:id="rId238" tooltip="Quitar este incidente de la liquidación"/>
          <a:extLst>
            <a:ext uri="{FF2B5EF4-FFF2-40B4-BE49-F238E27FC236}">
              <a16:creationId xmlns:a16="http://schemas.microsoft.com/office/drawing/2014/main" id="{E93AA874-62BD-AF1F-730D-5ED61C49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652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242" name="Imagen 241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F56F1225-B1BD-C008-A2E7-6BDB481B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63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334</xdr:row>
      <xdr:rowOff>0</xdr:rowOff>
    </xdr:from>
    <xdr:to>
      <xdr:col>12</xdr:col>
      <xdr:colOff>619125</xdr:colOff>
      <xdr:row>335</xdr:row>
      <xdr:rowOff>114300</xdr:rowOff>
    </xdr:to>
    <xdr:pic>
      <xdr:nvPicPr>
        <xdr:cNvPr id="243" name="Imagen 242">
          <a:hlinkClick xmlns:r="http://schemas.openxmlformats.org/officeDocument/2006/relationships" r:id="rId240" tooltip="Quitar este incidente de la liquidación"/>
          <a:extLst>
            <a:ext uri="{FF2B5EF4-FFF2-40B4-BE49-F238E27FC236}">
              <a16:creationId xmlns:a16="http://schemas.microsoft.com/office/drawing/2014/main" id="{E6C076A8-ECFB-85D3-ADC6-9FB09A3A9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663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12</xdr:col>
      <xdr:colOff>304800</xdr:colOff>
      <xdr:row>334</xdr:row>
      <xdr:rowOff>114300</xdr:rowOff>
    </xdr:to>
    <xdr:pic>
      <xdr:nvPicPr>
        <xdr:cNvPr id="244" name="Imagen 243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96D92F81-6E0B-07A1-F53C-F1C53E68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333</xdr:row>
      <xdr:rowOff>0</xdr:rowOff>
    </xdr:from>
    <xdr:to>
      <xdr:col>12</xdr:col>
      <xdr:colOff>619125</xdr:colOff>
      <xdr:row>334</xdr:row>
      <xdr:rowOff>114300</xdr:rowOff>
    </xdr:to>
    <xdr:pic>
      <xdr:nvPicPr>
        <xdr:cNvPr id="245" name="Imagen 244">
          <a:hlinkClick xmlns:r="http://schemas.openxmlformats.org/officeDocument/2006/relationships" r:id="rId242" tooltip="Quitar este incidente de la liquidación"/>
          <a:extLst>
            <a:ext uri="{FF2B5EF4-FFF2-40B4-BE49-F238E27FC236}">
              <a16:creationId xmlns:a16="http://schemas.microsoft.com/office/drawing/2014/main" id="{410A3499-1EE8-0552-D4CE-CDDA160AD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246" name="Imagen 245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AC993B35-6CB9-C178-4635-9FE4C615C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96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331</xdr:row>
      <xdr:rowOff>0</xdr:rowOff>
    </xdr:from>
    <xdr:to>
      <xdr:col>12</xdr:col>
      <xdr:colOff>619125</xdr:colOff>
      <xdr:row>332</xdr:row>
      <xdr:rowOff>114300</xdr:rowOff>
    </xdr:to>
    <xdr:pic>
      <xdr:nvPicPr>
        <xdr:cNvPr id="247" name="Imagen 246">
          <a:hlinkClick xmlns:r="http://schemas.openxmlformats.org/officeDocument/2006/relationships" r:id="rId244" tooltip="Quitar este incidente de la liquidación"/>
          <a:extLst>
            <a:ext uri="{FF2B5EF4-FFF2-40B4-BE49-F238E27FC236}">
              <a16:creationId xmlns:a16="http://schemas.microsoft.com/office/drawing/2014/main" id="{9306C33F-1CDC-636E-2E50-AE61B7827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696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114300</xdr:rowOff>
    </xdr:to>
    <xdr:pic>
      <xdr:nvPicPr>
        <xdr:cNvPr id="248" name="Imagen 247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5C0D2874-6499-1BC2-41BB-6E23BAA1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712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104775</xdr:rowOff>
    </xdr:to>
    <xdr:pic>
      <xdr:nvPicPr>
        <xdr:cNvPr id="249" name="Imagen 248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9CDDE585-789A-6349-B854-87F93ACF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67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250" name="Imagen 249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72189EA-2540-A7E1-ED1A-0340564D4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692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agentes.canaldirecto.com.ar/incidents/view/830132-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45429-1" TargetMode="External"/><Relationship Id="rId21" Type="http://schemas.openxmlformats.org/officeDocument/2006/relationships/hyperlink" Target="https://webagentes.canaldirecto.com.ar/incidents/view/668617-6" TargetMode="External"/><Relationship Id="rId42" Type="http://schemas.openxmlformats.org/officeDocument/2006/relationships/hyperlink" Target="https://webagentes.canaldirecto.com.ar/incidents/view/706568-0" TargetMode="External"/><Relationship Id="rId63" Type="http://schemas.openxmlformats.org/officeDocument/2006/relationships/hyperlink" Target="https://webagentes.canaldirecto.com.ar/incidents/view/708370-1" TargetMode="External"/><Relationship Id="rId84" Type="http://schemas.openxmlformats.org/officeDocument/2006/relationships/hyperlink" Target="https://webagentes.canaldirecto.com.ar/incidents/view/718238-5" TargetMode="External"/><Relationship Id="rId138" Type="http://schemas.openxmlformats.org/officeDocument/2006/relationships/hyperlink" Target="https://webagentes.canaldirecto.com.ar/incidents/view/755983-3" TargetMode="External"/><Relationship Id="rId159" Type="http://schemas.openxmlformats.org/officeDocument/2006/relationships/hyperlink" Target="https://webagentes.canaldirecto.com.ar/incidents/view/764900-2" TargetMode="External"/><Relationship Id="rId170" Type="http://schemas.openxmlformats.org/officeDocument/2006/relationships/hyperlink" Target="https://webagentes.canaldirecto.com.ar/incidents/view/764889-0" TargetMode="External"/><Relationship Id="rId191" Type="http://schemas.openxmlformats.org/officeDocument/2006/relationships/hyperlink" Target="https://webagentes.canaldirecto.com.ar/incidents/view/776985-6" TargetMode="External"/><Relationship Id="rId205" Type="http://schemas.openxmlformats.org/officeDocument/2006/relationships/hyperlink" Target="https://webagentes.canaldirecto.com.ar/incidents/view/792724-7" TargetMode="External"/><Relationship Id="rId226" Type="http://schemas.openxmlformats.org/officeDocument/2006/relationships/hyperlink" Target="https://webagentes.canaldirecto.com.ar/incidents/view/792151-7" TargetMode="External"/><Relationship Id="rId247" Type="http://schemas.openxmlformats.org/officeDocument/2006/relationships/hyperlink" Target="https://webagentes.canaldirecto.com.ar/incidents/view/815190-2" TargetMode="External"/><Relationship Id="rId107" Type="http://schemas.openxmlformats.org/officeDocument/2006/relationships/hyperlink" Target="https://webagentes.canaldirecto.com.ar/incidents/view/742427-2" TargetMode="External"/><Relationship Id="rId268" Type="http://schemas.openxmlformats.org/officeDocument/2006/relationships/hyperlink" Target="https://webagentes.canaldirecto.com.ar/incidents/view/818914-5" TargetMode="External"/><Relationship Id="rId11" Type="http://schemas.openxmlformats.org/officeDocument/2006/relationships/hyperlink" Target="https://webagentes.canaldirecto.com.ar/incidents/view/678545-9" TargetMode="External"/><Relationship Id="rId32" Type="http://schemas.openxmlformats.org/officeDocument/2006/relationships/hyperlink" Target="https://webagentes.canaldirecto.com.ar/incidents/view/694993-2" TargetMode="External"/><Relationship Id="rId53" Type="http://schemas.openxmlformats.org/officeDocument/2006/relationships/hyperlink" Target="https://webagentes.canaldirecto.com.ar/incidents/view/708380-8" TargetMode="External"/><Relationship Id="rId74" Type="http://schemas.openxmlformats.org/officeDocument/2006/relationships/hyperlink" Target="https://webagentes.canaldirecto.com.ar/incidents/view/715721-9" TargetMode="External"/><Relationship Id="rId128" Type="http://schemas.openxmlformats.org/officeDocument/2006/relationships/hyperlink" Target="https://webagentes.canaldirecto.com.ar/incidents/view/756330-4" TargetMode="External"/><Relationship Id="rId149" Type="http://schemas.openxmlformats.org/officeDocument/2006/relationships/hyperlink" Target="https://webagentes.canaldirecto.com.ar/incidents/view/753093-5" TargetMode="External"/><Relationship Id="rId5" Type="http://schemas.openxmlformats.org/officeDocument/2006/relationships/hyperlink" Target="https://webagentes.canaldirecto.com.ar/incidents/view/679145-0" TargetMode="External"/><Relationship Id="rId95" Type="http://schemas.openxmlformats.org/officeDocument/2006/relationships/hyperlink" Target="https://webagentes.canaldirecto.com.ar/incidents/view/732694-3" TargetMode="External"/><Relationship Id="rId160" Type="http://schemas.openxmlformats.org/officeDocument/2006/relationships/hyperlink" Target="https://webagentes.canaldirecto.com.ar/incidents/view/764899-7" TargetMode="External"/><Relationship Id="rId181" Type="http://schemas.openxmlformats.org/officeDocument/2006/relationships/hyperlink" Target="https://webagentes.canaldirecto.com.ar/incidents/view/774067-5" TargetMode="External"/><Relationship Id="rId216" Type="http://schemas.openxmlformats.org/officeDocument/2006/relationships/hyperlink" Target="https://webagentes.canaldirecto.com.ar/incidents/view/792709-8" TargetMode="External"/><Relationship Id="rId237" Type="http://schemas.openxmlformats.org/officeDocument/2006/relationships/hyperlink" Target="https://webagentes.canaldirecto.com.ar/incidents/view/802571-3" TargetMode="External"/><Relationship Id="rId258" Type="http://schemas.openxmlformats.org/officeDocument/2006/relationships/hyperlink" Target="https://webagentes.canaldirecto.com.ar/incidents/view/817799-1" TargetMode="External"/><Relationship Id="rId22" Type="http://schemas.openxmlformats.org/officeDocument/2006/relationships/hyperlink" Target="https://webagentes.canaldirecto.com.ar/incidents/view/668614-9" TargetMode="External"/><Relationship Id="rId43" Type="http://schemas.openxmlformats.org/officeDocument/2006/relationships/hyperlink" Target="https://webagentes.canaldirecto.com.ar/incidents/view/706160-2" TargetMode="External"/><Relationship Id="rId64" Type="http://schemas.openxmlformats.org/officeDocument/2006/relationships/hyperlink" Target="https://webagentes.canaldirecto.com.ar/incidents/view/707706-5" TargetMode="External"/><Relationship Id="rId118" Type="http://schemas.openxmlformats.org/officeDocument/2006/relationships/hyperlink" Target="https://webagentes.canaldirecto.com.ar/incidents/view/745428-2" TargetMode="External"/><Relationship Id="rId139" Type="http://schemas.openxmlformats.org/officeDocument/2006/relationships/hyperlink" Target="https://webagentes.canaldirecto.com.ar/incidents/view/755982-4" TargetMode="External"/><Relationship Id="rId85" Type="http://schemas.openxmlformats.org/officeDocument/2006/relationships/hyperlink" Target="https://webagentes.canaldirecto.com.ar/incidents/view/689320-8" TargetMode="External"/><Relationship Id="rId150" Type="http://schemas.openxmlformats.org/officeDocument/2006/relationships/hyperlink" Target="https://webagentes.canaldirecto.com.ar/incidents/view/760738-9" TargetMode="External"/><Relationship Id="rId171" Type="http://schemas.openxmlformats.org/officeDocument/2006/relationships/hyperlink" Target="https://webagentes.canaldirecto.com.ar/incidents/view/764883-6" TargetMode="External"/><Relationship Id="rId192" Type="http://schemas.openxmlformats.org/officeDocument/2006/relationships/hyperlink" Target="https://webagentes.canaldirecto.com.ar/incidents/view/774541-2" TargetMode="External"/><Relationship Id="rId206" Type="http://schemas.openxmlformats.org/officeDocument/2006/relationships/hyperlink" Target="https://webagentes.canaldirecto.com.ar/incidents/view/792722-9" TargetMode="External"/><Relationship Id="rId227" Type="http://schemas.openxmlformats.org/officeDocument/2006/relationships/hyperlink" Target="https://webagentes.canaldirecto.com.ar/incidents/view/803159-2" TargetMode="External"/><Relationship Id="rId248" Type="http://schemas.openxmlformats.org/officeDocument/2006/relationships/hyperlink" Target="https://webagentes.canaldirecto.com.ar/incidents/view/815189-6" TargetMode="External"/><Relationship Id="rId269" Type="http://schemas.openxmlformats.org/officeDocument/2006/relationships/hyperlink" Target="https://webagentes.canaldirecto.com.ar/incidents/view/822639-4" TargetMode="External"/><Relationship Id="rId12" Type="http://schemas.openxmlformats.org/officeDocument/2006/relationships/hyperlink" Target="https://webagentes.canaldirecto.com.ar/incidents/view/678544-0" TargetMode="External"/><Relationship Id="rId33" Type="http://schemas.openxmlformats.org/officeDocument/2006/relationships/hyperlink" Target="https://webagentes.canaldirecto.com.ar/incidents/view/693672-5" TargetMode="External"/><Relationship Id="rId108" Type="http://schemas.openxmlformats.org/officeDocument/2006/relationships/hyperlink" Target="https://webagentes.canaldirecto.com.ar/incidents/view/741411-4" TargetMode="External"/><Relationship Id="rId129" Type="http://schemas.openxmlformats.org/officeDocument/2006/relationships/hyperlink" Target="https://webagentes.canaldirecto.com.ar/incidents/view/756328-9" TargetMode="External"/><Relationship Id="rId54" Type="http://schemas.openxmlformats.org/officeDocument/2006/relationships/hyperlink" Target="https://webagentes.canaldirecto.com.ar/incidents/view/708379-2" TargetMode="External"/><Relationship Id="rId75" Type="http://schemas.openxmlformats.org/officeDocument/2006/relationships/hyperlink" Target="https://webagentes.canaldirecto.com.ar/incidents/view/720348-4" TargetMode="External"/><Relationship Id="rId96" Type="http://schemas.openxmlformats.org/officeDocument/2006/relationships/hyperlink" Target="https://webagentes.canaldirecto.com.ar/incidents/view/732155-9" TargetMode="External"/><Relationship Id="rId140" Type="http://schemas.openxmlformats.org/officeDocument/2006/relationships/hyperlink" Target="https://webagentes.canaldirecto.com.ar/incidents/view/755981-5" TargetMode="External"/><Relationship Id="rId161" Type="http://schemas.openxmlformats.org/officeDocument/2006/relationships/hyperlink" Target="https://webagentes.canaldirecto.com.ar/incidents/view/764898-8" TargetMode="External"/><Relationship Id="rId182" Type="http://schemas.openxmlformats.org/officeDocument/2006/relationships/hyperlink" Target="https://webagentes.canaldirecto.com.ar/incidents/view/774066-6" TargetMode="External"/><Relationship Id="rId217" Type="http://schemas.openxmlformats.org/officeDocument/2006/relationships/hyperlink" Target="https://webagentes.canaldirecto.com.ar/incidents/view/792707-0" TargetMode="External"/><Relationship Id="rId6" Type="http://schemas.openxmlformats.org/officeDocument/2006/relationships/hyperlink" Target="https://webagentes.canaldirecto.com.ar/incidents/view/678550-1" TargetMode="External"/><Relationship Id="rId238" Type="http://schemas.openxmlformats.org/officeDocument/2006/relationships/hyperlink" Target="https://webagentes.canaldirecto.com.ar/incidents/view/791632-0" TargetMode="External"/><Relationship Id="rId259" Type="http://schemas.openxmlformats.org/officeDocument/2006/relationships/hyperlink" Target="https://webagentes.canaldirecto.com.ar/incidents/view/817777-9" TargetMode="External"/><Relationship Id="rId23" Type="http://schemas.openxmlformats.org/officeDocument/2006/relationships/hyperlink" Target="https://webagentes.canaldirecto.com.ar/incidents/view/668613-0" TargetMode="External"/><Relationship Id="rId119" Type="http://schemas.openxmlformats.org/officeDocument/2006/relationships/hyperlink" Target="https://webagentes.canaldirecto.com.ar/incidents/view/745407-9" TargetMode="External"/><Relationship Id="rId270" Type="http://schemas.openxmlformats.org/officeDocument/2006/relationships/hyperlink" Target="https://webagentes.canaldirecto.com.ar/incidents/view/830132-1" TargetMode="External"/><Relationship Id="rId44" Type="http://schemas.openxmlformats.org/officeDocument/2006/relationships/hyperlink" Target="https://webagentes.canaldirecto.com.ar/incidents/view/706159-6" TargetMode="External"/><Relationship Id="rId60" Type="http://schemas.openxmlformats.org/officeDocument/2006/relationships/hyperlink" Target="https://webagentes.canaldirecto.com.ar/incidents/view/708373-8" TargetMode="External"/><Relationship Id="rId65" Type="http://schemas.openxmlformats.org/officeDocument/2006/relationships/hyperlink" Target="https://webagentes.canaldirecto.com.ar/incidents/view/705679-8" TargetMode="External"/><Relationship Id="rId81" Type="http://schemas.openxmlformats.org/officeDocument/2006/relationships/hyperlink" Target="https://webagentes.canaldirecto.com.ar/incidents/view/718237-6" TargetMode="External"/><Relationship Id="rId86" Type="http://schemas.openxmlformats.org/officeDocument/2006/relationships/hyperlink" Target="https://webagentes.canaldirecto.com.ar/incidents/view/669134-5" TargetMode="External"/><Relationship Id="rId130" Type="http://schemas.openxmlformats.org/officeDocument/2006/relationships/hyperlink" Target="https://webagentes.canaldirecto.com.ar/incidents/view/756327-0" TargetMode="External"/><Relationship Id="rId135" Type="http://schemas.openxmlformats.org/officeDocument/2006/relationships/hyperlink" Target="https://webagentes.canaldirecto.com.ar/incidents/view/756212-9" TargetMode="External"/><Relationship Id="rId151" Type="http://schemas.openxmlformats.org/officeDocument/2006/relationships/hyperlink" Target="https://webagentes.canaldirecto.com.ar/incidents/view/741601-5" TargetMode="External"/><Relationship Id="rId156" Type="http://schemas.openxmlformats.org/officeDocument/2006/relationships/hyperlink" Target="https://webagentes.canaldirecto.com.ar/incidents/view/765311-1" TargetMode="External"/><Relationship Id="rId177" Type="http://schemas.openxmlformats.org/officeDocument/2006/relationships/hyperlink" Target="https://webagentes.canaldirecto.com.ar/incidents/view/774071-8" TargetMode="External"/><Relationship Id="rId198" Type="http://schemas.openxmlformats.org/officeDocument/2006/relationships/hyperlink" Target="https://webagentes.canaldirecto.com.ar/incidents/view/784046-1" TargetMode="External"/><Relationship Id="rId172" Type="http://schemas.openxmlformats.org/officeDocument/2006/relationships/hyperlink" Target="https://webagentes.canaldirecto.com.ar/incidents/view/764882-7" TargetMode="External"/><Relationship Id="rId193" Type="http://schemas.openxmlformats.org/officeDocument/2006/relationships/hyperlink" Target="https://webagentes.canaldirecto.com.ar/incidents/view/774540-3" TargetMode="External"/><Relationship Id="rId202" Type="http://schemas.openxmlformats.org/officeDocument/2006/relationships/hyperlink" Target="https://webagentes.canaldirecto.com.ar/incidents/view/795830-8" TargetMode="External"/><Relationship Id="rId207" Type="http://schemas.openxmlformats.org/officeDocument/2006/relationships/hyperlink" Target="https://webagentes.canaldirecto.com.ar/incidents/view/792721-0" TargetMode="External"/><Relationship Id="rId223" Type="http://schemas.openxmlformats.org/officeDocument/2006/relationships/hyperlink" Target="https://webagentes.canaldirecto.com.ar/incidents/view/797487-4" TargetMode="External"/><Relationship Id="rId228" Type="http://schemas.openxmlformats.org/officeDocument/2006/relationships/hyperlink" Target="https://webagentes.canaldirecto.com.ar/incidents/view/801531-8" TargetMode="External"/><Relationship Id="rId244" Type="http://schemas.openxmlformats.org/officeDocument/2006/relationships/hyperlink" Target="https://webagentes.canaldirecto.com.ar/incidents/view/815193-9" TargetMode="External"/><Relationship Id="rId249" Type="http://schemas.openxmlformats.org/officeDocument/2006/relationships/hyperlink" Target="https://webagentes.canaldirecto.com.ar/incidents/view/814983-7" TargetMode="External"/><Relationship Id="rId13" Type="http://schemas.openxmlformats.org/officeDocument/2006/relationships/hyperlink" Target="https://webagentes.canaldirecto.com.ar/incidents/view/678543-1" TargetMode="External"/><Relationship Id="rId18" Type="http://schemas.openxmlformats.org/officeDocument/2006/relationships/hyperlink" Target="https://webagentes.canaldirecto.com.ar/incidents/view/670897-3" TargetMode="External"/><Relationship Id="rId39" Type="http://schemas.openxmlformats.org/officeDocument/2006/relationships/hyperlink" Target="https://webagentes.canaldirecto.com.ar/incidents/view/696526-8" TargetMode="External"/><Relationship Id="rId109" Type="http://schemas.openxmlformats.org/officeDocument/2006/relationships/hyperlink" Target="https://webagentes.canaldirecto.com.ar/incidents/view/741410-5" TargetMode="External"/><Relationship Id="rId260" Type="http://schemas.openxmlformats.org/officeDocument/2006/relationships/hyperlink" Target="https://webagentes.canaldirecto.com.ar/incidents/view/817776-0" TargetMode="External"/><Relationship Id="rId265" Type="http://schemas.openxmlformats.org/officeDocument/2006/relationships/hyperlink" Target="https://webagentes.canaldirecto.com.ar/incidents/view/815348-7" TargetMode="External"/><Relationship Id="rId34" Type="http://schemas.openxmlformats.org/officeDocument/2006/relationships/hyperlink" Target="https://webagentes.canaldirecto.com.ar/incidents/view/689309-5" TargetMode="External"/><Relationship Id="rId50" Type="http://schemas.openxmlformats.org/officeDocument/2006/relationships/hyperlink" Target="https://webagentes.canaldirecto.com.ar/incidents/view/708989-3" TargetMode="External"/><Relationship Id="rId55" Type="http://schemas.openxmlformats.org/officeDocument/2006/relationships/hyperlink" Target="https://webagentes.canaldirecto.com.ar/incidents/view/708378-3" TargetMode="External"/><Relationship Id="rId76" Type="http://schemas.openxmlformats.org/officeDocument/2006/relationships/hyperlink" Target="https://webagentes.canaldirecto.com.ar/incidents/view/720347-5" TargetMode="External"/><Relationship Id="rId97" Type="http://schemas.openxmlformats.org/officeDocument/2006/relationships/hyperlink" Target="https://webagentes.canaldirecto.com.ar/incidents/view/735343-3" TargetMode="External"/><Relationship Id="rId104" Type="http://schemas.openxmlformats.org/officeDocument/2006/relationships/hyperlink" Target="https://webagentes.canaldirecto.com.ar/incidents/view/738993-3" TargetMode="External"/><Relationship Id="rId120" Type="http://schemas.openxmlformats.org/officeDocument/2006/relationships/hyperlink" Target="https://webagentes.canaldirecto.com.ar/incidents/view/749162-7" TargetMode="External"/><Relationship Id="rId125" Type="http://schemas.openxmlformats.org/officeDocument/2006/relationships/hyperlink" Target="https://webagentes.canaldirecto.com.ar/incidents/view/756401-1" TargetMode="External"/><Relationship Id="rId141" Type="http://schemas.openxmlformats.org/officeDocument/2006/relationships/hyperlink" Target="https://webagentes.canaldirecto.com.ar/incidents/view/755980-6" TargetMode="External"/><Relationship Id="rId146" Type="http://schemas.openxmlformats.org/officeDocument/2006/relationships/hyperlink" Target="https://webagentes.canaldirecto.com.ar/incidents/view/755975-4" TargetMode="External"/><Relationship Id="rId167" Type="http://schemas.openxmlformats.org/officeDocument/2006/relationships/hyperlink" Target="https://webagentes.canaldirecto.com.ar/incidents/view/764892-4" TargetMode="External"/><Relationship Id="rId188" Type="http://schemas.openxmlformats.org/officeDocument/2006/relationships/hyperlink" Target="https://webagentes.canaldirecto.com.ar/incidents/view/776988-3" TargetMode="External"/><Relationship Id="rId7" Type="http://schemas.openxmlformats.org/officeDocument/2006/relationships/hyperlink" Target="https://webagentes.canaldirecto.com.ar/incidents/view/678549-5" TargetMode="External"/><Relationship Id="rId71" Type="http://schemas.openxmlformats.org/officeDocument/2006/relationships/hyperlink" Target="https://webagentes.canaldirecto.com.ar/incidents/view/708988-4" TargetMode="External"/><Relationship Id="rId92" Type="http://schemas.openxmlformats.org/officeDocument/2006/relationships/hyperlink" Target="https://webagentes.canaldirecto.com.ar/incidents/view/727395-1" TargetMode="External"/><Relationship Id="rId162" Type="http://schemas.openxmlformats.org/officeDocument/2006/relationships/hyperlink" Target="https://webagentes.canaldirecto.com.ar/incidents/view/764897-9" TargetMode="External"/><Relationship Id="rId183" Type="http://schemas.openxmlformats.org/officeDocument/2006/relationships/hyperlink" Target="https://webagentes.canaldirecto.com.ar/incidents/view/774065-7" TargetMode="External"/><Relationship Id="rId213" Type="http://schemas.openxmlformats.org/officeDocument/2006/relationships/hyperlink" Target="https://webagentes.canaldirecto.com.ar/incidents/view/792714-0" TargetMode="External"/><Relationship Id="rId218" Type="http://schemas.openxmlformats.org/officeDocument/2006/relationships/hyperlink" Target="https://webagentes.canaldirecto.com.ar/incidents/view/788010-4" TargetMode="External"/><Relationship Id="rId234" Type="http://schemas.openxmlformats.org/officeDocument/2006/relationships/hyperlink" Target="https://webagentes.canaldirecto.com.ar/incidents/view/801785-7" TargetMode="External"/><Relationship Id="rId239" Type="http://schemas.openxmlformats.org/officeDocument/2006/relationships/hyperlink" Target="https://webagentes.canaldirecto.com.ar/incidents/view/791631-1" TargetMode="External"/><Relationship Id="rId2" Type="http://schemas.openxmlformats.org/officeDocument/2006/relationships/hyperlink" Target="https://webagentes.canaldirecto.com.ar/incidents/view/681769-7" TargetMode="External"/><Relationship Id="rId29" Type="http://schemas.openxmlformats.org/officeDocument/2006/relationships/hyperlink" Target="https://webagentes.canaldirecto.com.ar/incidents/view/688712-8" TargetMode="External"/><Relationship Id="rId250" Type="http://schemas.openxmlformats.org/officeDocument/2006/relationships/hyperlink" Target="https://webagentes.canaldirecto.com.ar/incidents/view/814271-9" TargetMode="External"/><Relationship Id="rId255" Type="http://schemas.openxmlformats.org/officeDocument/2006/relationships/hyperlink" Target="https://webagentes.canaldirecto.com.ar/incidents/view/818509-7" TargetMode="External"/><Relationship Id="rId271" Type="http://schemas.openxmlformats.org/officeDocument/2006/relationships/printerSettings" Target="../printerSettings/printerSettings2.bin"/><Relationship Id="rId24" Type="http://schemas.openxmlformats.org/officeDocument/2006/relationships/hyperlink" Target="https://webagentes.canaldirecto.com.ar/incidents/view/668611-2" TargetMode="External"/><Relationship Id="rId40" Type="http://schemas.openxmlformats.org/officeDocument/2006/relationships/hyperlink" Target="https://webagentes.canaldirecto.com.ar/incidents/view/696525-9" TargetMode="External"/><Relationship Id="rId45" Type="http://schemas.openxmlformats.org/officeDocument/2006/relationships/hyperlink" Target="https://webagentes.canaldirecto.com.ar/incidents/view/703856-1" TargetMode="External"/><Relationship Id="rId66" Type="http://schemas.openxmlformats.org/officeDocument/2006/relationships/hyperlink" Target="https://webagentes.canaldirecto.com.ar/incidents/view/713906-4" TargetMode="External"/><Relationship Id="rId87" Type="http://schemas.openxmlformats.org/officeDocument/2006/relationships/hyperlink" Target="https://webagentes.canaldirecto.com.ar/incidents/view/725104-7" TargetMode="External"/><Relationship Id="rId110" Type="http://schemas.openxmlformats.org/officeDocument/2006/relationships/hyperlink" Target="https://webagentes.canaldirecto.com.ar/incidents/view/741409-9" TargetMode="External"/><Relationship Id="rId115" Type="http://schemas.openxmlformats.org/officeDocument/2006/relationships/hyperlink" Target="https://webagentes.canaldirecto.com.ar/incidents/view/720341-1" TargetMode="External"/><Relationship Id="rId131" Type="http://schemas.openxmlformats.org/officeDocument/2006/relationships/hyperlink" Target="https://webagentes.canaldirecto.com.ar/incidents/view/756326-1" TargetMode="External"/><Relationship Id="rId136" Type="http://schemas.openxmlformats.org/officeDocument/2006/relationships/hyperlink" Target="https://webagentes.canaldirecto.com.ar/incidents/view/756049-5" TargetMode="External"/><Relationship Id="rId157" Type="http://schemas.openxmlformats.org/officeDocument/2006/relationships/hyperlink" Target="https://webagentes.canaldirecto.com.ar/incidents/view/765310-2" TargetMode="External"/><Relationship Id="rId178" Type="http://schemas.openxmlformats.org/officeDocument/2006/relationships/hyperlink" Target="https://webagentes.canaldirecto.com.ar/incidents/view/774070-9" TargetMode="External"/><Relationship Id="rId61" Type="http://schemas.openxmlformats.org/officeDocument/2006/relationships/hyperlink" Target="https://webagentes.canaldirecto.com.ar/incidents/view/708372-9" TargetMode="External"/><Relationship Id="rId82" Type="http://schemas.openxmlformats.org/officeDocument/2006/relationships/hyperlink" Target="https://webagentes.canaldirecto.com.ar/incidents/view/718213-6" TargetMode="External"/><Relationship Id="rId152" Type="http://schemas.openxmlformats.org/officeDocument/2006/relationships/hyperlink" Target="https://webagentes.canaldirecto.com.ar/incidents/view/765748-1" TargetMode="External"/><Relationship Id="rId173" Type="http://schemas.openxmlformats.org/officeDocument/2006/relationships/hyperlink" Target="https://webagentes.canaldirecto.com.ar/incidents/view/764253-1" TargetMode="External"/><Relationship Id="rId194" Type="http://schemas.openxmlformats.org/officeDocument/2006/relationships/hyperlink" Target="https://webagentes.canaldirecto.com.ar/incidents/view/774539-7" TargetMode="External"/><Relationship Id="rId199" Type="http://schemas.openxmlformats.org/officeDocument/2006/relationships/hyperlink" Target="https://webagentes.canaldirecto.com.ar/incidents/view/796138-4" TargetMode="External"/><Relationship Id="rId203" Type="http://schemas.openxmlformats.org/officeDocument/2006/relationships/hyperlink" Target="https://webagentes.canaldirecto.com.ar/incidents/view/793270-8" TargetMode="External"/><Relationship Id="rId208" Type="http://schemas.openxmlformats.org/officeDocument/2006/relationships/hyperlink" Target="https://webagentes.canaldirecto.com.ar/incidents/view/792720-1" TargetMode="External"/><Relationship Id="rId229" Type="http://schemas.openxmlformats.org/officeDocument/2006/relationships/hyperlink" Target="https://webagentes.canaldirecto.com.ar/incidents/view/801189-9" TargetMode="External"/><Relationship Id="rId19" Type="http://schemas.openxmlformats.org/officeDocument/2006/relationships/hyperlink" Target="https://webagentes.canaldirecto.com.ar/incidents/view/668619-4" TargetMode="External"/><Relationship Id="rId224" Type="http://schemas.openxmlformats.org/officeDocument/2006/relationships/hyperlink" Target="https://webagentes.canaldirecto.com.ar/incidents/view/797486-5" TargetMode="External"/><Relationship Id="rId240" Type="http://schemas.openxmlformats.org/officeDocument/2006/relationships/hyperlink" Target="https://webagentes.canaldirecto.com.ar/incidents/view/788987-7" TargetMode="External"/><Relationship Id="rId245" Type="http://schemas.openxmlformats.org/officeDocument/2006/relationships/hyperlink" Target="https://webagentes.canaldirecto.com.ar/incidents/view/815192-0" TargetMode="External"/><Relationship Id="rId261" Type="http://schemas.openxmlformats.org/officeDocument/2006/relationships/hyperlink" Target="https://webagentes.canaldirecto.com.ar/incidents/view/816916-9" TargetMode="External"/><Relationship Id="rId266" Type="http://schemas.openxmlformats.org/officeDocument/2006/relationships/hyperlink" Target="https://webagentes.canaldirecto.com.ar/incidents/view/819831-0" TargetMode="External"/><Relationship Id="rId14" Type="http://schemas.openxmlformats.org/officeDocument/2006/relationships/hyperlink" Target="https://webagentes.canaldirecto.com.ar/incidents/view/678542-2" TargetMode="External"/><Relationship Id="rId30" Type="http://schemas.openxmlformats.org/officeDocument/2006/relationships/hyperlink" Target="https://webagentes.canaldirecto.com.ar/incidents/view/683711-4" TargetMode="External"/><Relationship Id="rId35" Type="http://schemas.openxmlformats.org/officeDocument/2006/relationships/hyperlink" Target="https://webagentes.canaldirecto.com.ar/incidents/view/699252-7" TargetMode="External"/><Relationship Id="rId56" Type="http://schemas.openxmlformats.org/officeDocument/2006/relationships/hyperlink" Target="https://webagentes.canaldirecto.com.ar/incidents/view/708377-4" TargetMode="External"/><Relationship Id="rId77" Type="http://schemas.openxmlformats.org/officeDocument/2006/relationships/hyperlink" Target="https://webagentes.canaldirecto.com.ar/incidents/view/720346-6" TargetMode="External"/><Relationship Id="rId100" Type="http://schemas.openxmlformats.org/officeDocument/2006/relationships/hyperlink" Target="https://webagentes.canaldirecto.com.ar/incidents/view/737456-0" TargetMode="External"/><Relationship Id="rId105" Type="http://schemas.openxmlformats.org/officeDocument/2006/relationships/hyperlink" Target="https://webagentes.canaldirecto.com.ar/incidents/view/738992-4" TargetMode="External"/><Relationship Id="rId126" Type="http://schemas.openxmlformats.org/officeDocument/2006/relationships/hyperlink" Target="https://webagentes.canaldirecto.com.ar/incidents/view/756400-2" TargetMode="External"/><Relationship Id="rId147" Type="http://schemas.openxmlformats.org/officeDocument/2006/relationships/hyperlink" Target="https://webagentes.canaldirecto.com.ar/incidents/view/755974-5" TargetMode="External"/><Relationship Id="rId168" Type="http://schemas.openxmlformats.org/officeDocument/2006/relationships/hyperlink" Target="https://webagentes.canaldirecto.com.ar/incidents/view/764891-5" TargetMode="External"/><Relationship Id="rId8" Type="http://schemas.openxmlformats.org/officeDocument/2006/relationships/hyperlink" Target="https://webagentes.canaldirecto.com.ar/incidents/view/678548-6" TargetMode="External"/><Relationship Id="rId51" Type="http://schemas.openxmlformats.org/officeDocument/2006/relationships/hyperlink" Target="https://webagentes.canaldirecto.com.ar/incidents/view/708988-4" TargetMode="External"/><Relationship Id="rId72" Type="http://schemas.openxmlformats.org/officeDocument/2006/relationships/hyperlink" Target="https://webagentes.canaldirecto.com.ar/incidents/view/708987-5" TargetMode="External"/><Relationship Id="rId93" Type="http://schemas.openxmlformats.org/officeDocument/2006/relationships/hyperlink" Target="https://webagentes.canaldirecto.com.ar/incidents/view/724087-4" TargetMode="External"/><Relationship Id="rId98" Type="http://schemas.openxmlformats.org/officeDocument/2006/relationships/hyperlink" Target="https://webagentes.canaldirecto.com.ar/incidents/view/734614-1" TargetMode="External"/><Relationship Id="rId121" Type="http://schemas.openxmlformats.org/officeDocument/2006/relationships/hyperlink" Target="https://webagentes.canaldirecto.com.ar/incidents/view/747521-2" TargetMode="External"/><Relationship Id="rId142" Type="http://schemas.openxmlformats.org/officeDocument/2006/relationships/hyperlink" Target="https://webagentes.canaldirecto.com.ar/incidents/view/755979-0" TargetMode="External"/><Relationship Id="rId163" Type="http://schemas.openxmlformats.org/officeDocument/2006/relationships/hyperlink" Target="https://webagentes.canaldirecto.com.ar/incidents/view/764896-0" TargetMode="External"/><Relationship Id="rId184" Type="http://schemas.openxmlformats.org/officeDocument/2006/relationships/hyperlink" Target="https://webagentes.canaldirecto.com.ar/incidents/view/774064-8" TargetMode="External"/><Relationship Id="rId189" Type="http://schemas.openxmlformats.org/officeDocument/2006/relationships/hyperlink" Target="https://webagentes.canaldirecto.com.ar/incidents/view/776987-4" TargetMode="External"/><Relationship Id="rId219" Type="http://schemas.openxmlformats.org/officeDocument/2006/relationships/hyperlink" Target="https://webagentes.canaldirecto.com.ar/incidents/view/797726-0" TargetMode="External"/><Relationship Id="rId3" Type="http://schemas.openxmlformats.org/officeDocument/2006/relationships/hyperlink" Target="https://webagentes.canaldirecto.com.ar/incidents/view/680660-0" TargetMode="External"/><Relationship Id="rId214" Type="http://schemas.openxmlformats.org/officeDocument/2006/relationships/hyperlink" Target="https://webagentes.canaldirecto.com.ar/incidents/view/792713-1" TargetMode="External"/><Relationship Id="rId230" Type="http://schemas.openxmlformats.org/officeDocument/2006/relationships/hyperlink" Target="https://webagentes.canaldirecto.com.ar/incidents/view/801055-3" TargetMode="External"/><Relationship Id="rId235" Type="http://schemas.openxmlformats.org/officeDocument/2006/relationships/hyperlink" Target="https://webagentes.canaldirecto.com.ar/incidents/view/807935-2" TargetMode="External"/><Relationship Id="rId251" Type="http://schemas.openxmlformats.org/officeDocument/2006/relationships/hyperlink" Target="https://webagentes.canaldirecto.com.ar/incidents/view/814152-5" TargetMode="External"/><Relationship Id="rId256" Type="http://schemas.openxmlformats.org/officeDocument/2006/relationships/hyperlink" Target="https://webagentes.canaldirecto.com.ar/incidents/view/818507-9" TargetMode="External"/><Relationship Id="rId25" Type="http://schemas.openxmlformats.org/officeDocument/2006/relationships/hyperlink" Target="https://webagentes.canaldirecto.com.ar/incidents/view/668610-3" TargetMode="External"/><Relationship Id="rId46" Type="http://schemas.openxmlformats.org/officeDocument/2006/relationships/hyperlink" Target="https://webagentes.canaldirecto.com.ar/incidents/view/701419-0" TargetMode="External"/><Relationship Id="rId67" Type="http://schemas.openxmlformats.org/officeDocument/2006/relationships/hyperlink" Target="https://webagentes.canaldirecto.com.ar/incidents/view/713905-5" TargetMode="External"/><Relationship Id="rId116" Type="http://schemas.openxmlformats.org/officeDocument/2006/relationships/hyperlink" Target="https://webagentes.canaldirecto.com.ar/incidents/view/745601-3" TargetMode="External"/><Relationship Id="rId137" Type="http://schemas.openxmlformats.org/officeDocument/2006/relationships/hyperlink" Target="https://webagentes.canaldirecto.com.ar/incidents/view/756040-4" TargetMode="External"/><Relationship Id="rId158" Type="http://schemas.openxmlformats.org/officeDocument/2006/relationships/hyperlink" Target="https://webagentes.canaldirecto.com.ar/incidents/view/765309-6" TargetMode="External"/><Relationship Id="rId272" Type="http://schemas.openxmlformats.org/officeDocument/2006/relationships/drawing" Target="../drawings/drawing1.xml"/><Relationship Id="rId20" Type="http://schemas.openxmlformats.org/officeDocument/2006/relationships/hyperlink" Target="https://webagentes.canaldirecto.com.ar/incidents/view/668618-5" TargetMode="External"/><Relationship Id="rId41" Type="http://schemas.openxmlformats.org/officeDocument/2006/relationships/hyperlink" Target="https://webagentes.canaldirecto.com.ar/incidents/view/696524-0" TargetMode="External"/><Relationship Id="rId62" Type="http://schemas.openxmlformats.org/officeDocument/2006/relationships/hyperlink" Target="https://webagentes.canaldirecto.com.ar/incidents/view/708371-0" TargetMode="External"/><Relationship Id="rId83" Type="http://schemas.openxmlformats.org/officeDocument/2006/relationships/hyperlink" Target="https://webagentes.canaldirecto.com.ar/incidents/view/717305-9" TargetMode="External"/><Relationship Id="rId88" Type="http://schemas.openxmlformats.org/officeDocument/2006/relationships/hyperlink" Target="https://webagentes.canaldirecto.com.ar/incidents/view/724690-2" TargetMode="External"/><Relationship Id="rId111" Type="http://schemas.openxmlformats.org/officeDocument/2006/relationships/hyperlink" Target="https://webagentes.canaldirecto.com.ar/incidents/view/741408-0" TargetMode="External"/><Relationship Id="rId132" Type="http://schemas.openxmlformats.org/officeDocument/2006/relationships/hyperlink" Target="https://webagentes.canaldirecto.com.ar/incidents/view/756325-2" TargetMode="External"/><Relationship Id="rId153" Type="http://schemas.openxmlformats.org/officeDocument/2006/relationships/hyperlink" Target="https://webagentes.canaldirecto.com.ar/incidents/view/765747-2" TargetMode="External"/><Relationship Id="rId174" Type="http://schemas.openxmlformats.org/officeDocument/2006/relationships/hyperlink" Target="https://webagentes.canaldirecto.com.ar/incidents/view/767304-5" TargetMode="External"/><Relationship Id="rId179" Type="http://schemas.openxmlformats.org/officeDocument/2006/relationships/hyperlink" Target="https://webagentes.canaldirecto.com.ar/incidents/view/774069-3" TargetMode="External"/><Relationship Id="rId195" Type="http://schemas.openxmlformats.org/officeDocument/2006/relationships/hyperlink" Target="https://webagentes.canaldirecto.com.ar/incidents/view/774461-7" TargetMode="External"/><Relationship Id="rId209" Type="http://schemas.openxmlformats.org/officeDocument/2006/relationships/hyperlink" Target="https://webagentes.canaldirecto.com.ar/incidents/view/792719-5" TargetMode="External"/><Relationship Id="rId190" Type="http://schemas.openxmlformats.org/officeDocument/2006/relationships/hyperlink" Target="https://webagentes.canaldirecto.com.ar/incidents/view/776986-5" TargetMode="External"/><Relationship Id="rId204" Type="http://schemas.openxmlformats.org/officeDocument/2006/relationships/hyperlink" Target="https://webagentes.canaldirecto.com.ar/incidents/view/792725-6" TargetMode="External"/><Relationship Id="rId220" Type="http://schemas.openxmlformats.org/officeDocument/2006/relationships/hyperlink" Target="https://webagentes.canaldirecto.com.ar/incidents/view/797725-1" TargetMode="External"/><Relationship Id="rId225" Type="http://schemas.openxmlformats.org/officeDocument/2006/relationships/hyperlink" Target="https://webagentes.canaldirecto.com.ar/incidents/view/797206-1" TargetMode="External"/><Relationship Id="rId241" Type="http://schemas.openxmlformats.org/officeDocument/2006/relationships/hyperlink" Target="https://webagentes.canaldirecto.com.ar/incidents/view/815351-1" TargetMode="External"/><Relationship Id="rId246" Type="http://schemas.openxmlformats.org/officeDocument/2006/relationships/hyperlink" Target="https://webagentes.canaldirecto.com.ar/incidents/view/815191-1" TargetMode="External"/><Relationship Id="rId267" Type="http://schemas.openxmlformats.org/officeDocument/2006/relationships/hyperlink" Target="https://webagentes.canaldirecto.com.ar/incidents/view/818915-4" TargetMode="External"/><Relationship Id="rId15" Type="http://schemas.openxmlformats.org/officeDocument/2006/relationships/hyperlink" Target="https://webagentes.canaldirecto.com.ar/incidents/view/678541-3" TargetMode="External"/><Relationship Id="rId36" Type="http://schemas.openxmlformats.org/officeDocument/2006/relationships/hyperlink" Target="https://webagentes.canaldirecto.com.ar/incidents/view/698740-0" TargetMode="External"/><Relationship Id="rId57" Type="http://schemas.openxmlformats.org/officeDocument/2006/relationships/hyperlink" Target="https://webagentes.canaldirecto.com.ar/incidents/view/708376-5" TargetMode="External"/><Relationship Id="rId106" Type="http://schemas.openxmlformats.org/officeDocument/2006/relationships/hyperlink" Target="https://webagentes.canaldirecto.com.ar/incidents/view/731504-4" TargetMode="External"/><Relationship Id="rId127" Type="http://schemas.openxmlformats.org/officeDocument/2006/relationships/hyperlink" Target="https://webagentes.canaldirecto.com.ar/incidents/view/756398-8" TargetMode="External"/><Relationship Id="rId262" Type="http://schemas.openxmlformats.org/officeDocument/2006/relationships/hyperlink" Target="https://webagentes.canaldirecto.com.ar/incidents/view/815352-0" TargetMode="External"/><Relationship Id="rId10" Type="http://schemas.openxmlformats.org/officeDocument/2006/relationships/hyperlink" Target="https://webagentes.canaldirecto.com.ar/incidents/view/678546-8" TargetMode="External"/><Relationship Id="rId31" Type="http://schemas.openxmlformats.org/officeDocument/2006/relationships/hyperlink" Target="https://webagentes.canaldirecto.com.ar/incidents/view/695152-0" TargetMode="External"/><Relationship Id="rId52" Type="http://schemas.openxmlformats.org/officeDocument/2006/relationships/hyperlink" Target="https://webagentes.canaldirecto.com.ar/incidents/view/708987-5" TargetMode="External"/><Relationship Id="rId73" Type="http://schemas.openxmlformats.org/officeDocument/2006/relationships/hyperlink" Target="https://webagentes.canaldirecto.com.ar/incidents/view/700600-3" TargetMode="External"/><Relationship Id="rId78" Type="http://schemas.openxmlformats.org/officeDocument/2006/relationships/hyperlink" Target="https://webagentes.canaldirecto.com.ar/incidents/view/720344-8" TargetMode="External"/><Relationship Id="rId94" Type="http://schemas.openxmlformats.org/officeDocument/2006/relationships/hyperlink" Target="https://webagentes.canaldirecto.com.ar/incidents/view/733098-2" TargetMode="External"/><Relationship Id="rId99" Type="http://schemas.openxmlformats.org/officeDocument/2006/relationships/hyperlink" Target="https://webagentes.canaldirecto.com.ar/incidents/view/737798-3" TargetMode="External"/><Relationship Id="rId101" Type="http://schemas.openxmlformats.org/officeDocument/2006/relationships/hyperlink" Target="https://webagentes.canaldirecto.com.ar/incidents/view/737430-2" TargetMode="External"/><Relationship Id="rId122" Type="http://schemas.openxmlformats.org/officeDocument/2006/relationships/hyperlink" Target="https://webagentes.canaldirecto.com.ar/incidents/view/746415-5" TargetMode="External"/><Relationship Id="rId143" Type="http://schemas.openxmlformats.org/officeDocument/2006/relationships/hyperlink" Target="https://webagentes.canaldirecto.com.ar/incidents/view/755978-1" TargetMode="External"/><Relationship Id="rId148" Type="http://schemas.openxmlformats.org/officeDocument/2006/relationships/hyperlink" Target="https://webagentes.canaldirecto.com.ar/incidents/view/755410-2" TargetMode="External"/><Relationship Id="rId164" Type="http://schemas.openxmlformats.org/officeDocument/2006/relationships/hyperlink" Target="https://webagentes.canaldirecto.com.ar/incidents/view/764895-1" TargetMode="External"/><Relationship Id="rId169" Type="http://schemas.openxmlformats.org/officeDocument/2006/relationships/hyperlink" Target="https://webagentes.canaldirecto.com.ar/incidents/view/764890-6" TargetMode="External"/><Relationship Id="rId185" Type="http://schemas.openxmlformats.org/officeDocument/2006/relationships/hyperlink" Target="https://webagentes.canaldirecto.com.ar/incidents/view/774062-0" TargetMode="External"/><Relationship Id="rId4" Type="http://schemas.openxmlformats.org/officeDocument/2006/relationships/hyperlink" Target="https://webagentes.canaldirecto.com.ar/incidents/view/679981-4" TargetMode="External"/><Relationship Id="rId9" Type="http://schemas.openxmlformats.org/officeDocument/2006/relationships/hyperlink" Target="https://webagentes.canaldirecto.com.ar/incidents/view/678547-7" TargetMode="External"/><Relationship Id="rId180" Type="http://schemas.openxmlformats.org/officeDocument/2006/relationships/hyperlink" Target="https://webagentes.canaldirecto.com.ar/incidents/view/774068-4" TargetMode="External"/><Relationship Id="rId210" Type="http://schemas.openxmlformats.org/officeDocument/2006/relationships/hyperlink" Target="https://webagentes.canaldirecto.com.ar/incidents/view/792718-6" TargetMode="External"/><Relationship Id="rId215" Type="http://schemas.openxmlformats.org/officeDocument/2006/relationships/hyperlink" Target="https://webagentes.canaldirecto.com.ar/incidents/view/792710-4" TargetMode="External"/><Relationship Id="rId236" Type="http://schemas.openxmlformats.org/officeDocument/2006/relationships/hyperlink" Target="https://webagentes.canaldirecto.com.ar/incidents/view/810556-9" TargetMode="External"/><Relationship Id="rId257" Type="http://schemas.openxmlformats.org/officeDocument/2006/relationships/hyperlink" Target="https://webagentes.canaldirecto.com.ar/incidents/view/818019-9" TargetMode="External"/><Relationship Id="rId26" Type="http://schemas.openxmlformats.org/officeDocument/2006/relationships/hyperlink" Target="https://webagentes.canaldirecto.com.ar/incidents/view/668609-7" TargetMode="External"/><Relationship Id="rId231" Type="http://schemas.openxmlformats.org/officeDocument/2006/relationships/hyperlink" Target="https://webagentes.canaldirecto.com.ar/incidents/view/800133-3" TargetMode="External"/><Relationship Id="rId252" Type="http://schemas.openxmlformats.org/officeDocument/2006/relationships/hyperlink" Target="https://webagentes.canaldirecto.com.ar/incidents/view/814136-7" TargetMode="External"/><Relationship Id="rId47" Type="http://schemas.openxmlformats.org/officeDocument/2006/relationships/hyperlink" Target="https://webagentes.canaldirecto.com.ar/incidents/view/711400-1" TargetMode="External"/><Relationship Id="rId68" Type="http://schemas.openxmlformats.org/officeDocument/2006/relationships/hyperlink" Target="https://webagentes.canaldirecto.com.ar/incidents/view/713904-6" TargetMode="External"/><Relationship Id="rId89" Type="http://schemas.openxmlformats.org/officeDocument/2006/relationships/hyperlink" Target="https://webagentes.canaldirecto.com.ar/incidents/view/730573-7" TargetMode="External"/><Relationship Id="rId112" Type="http://schemas.openxmlformats.org/officeDocument/2006/relationships/hyperlink" Target="https://webagentes.canaldirecto.com.ar/incidents/view/741407-1" TargetMode="External"/><Relationship Id="rId133" Type="http://schemas.openxmlformats.org/officeDocument/2006/relationships/hyperlink" Target="https://webagentes.canaldirecto.com.ar/incidents/view/756324-3" TargetMode="External"/><Relationship Id="rId154" Type="http://schemas.openxmlformats.org/officeDocument/2006/relationships/hyperlink" Target="https://webagentes.canaldirecto.com.ar/incidents/view/765745-4" TargetMode="External"/><Relationship Id="rId175" Type="http://schemas.openxmlformats.org/officeDocument/2006/relationships/hyperlink" Target="https://webagentes.canaldirecto.com.ar/incidents/view/767302-7" TargetMode="External"/><Relationship Id="rId196" Type="http://schemas.openxmlformats.org/officeDocument/2006/relationships/hyperlink" Target="https://webagentes.canaldirecto.com.ar/incidents/view/774842-8" TargetMode="External"/><Relationship Id="rId200" Type="http://schemas.openxmlformats.org/officeDocument/2006/relationships/hyperlink" Target="https://webagentes.canaldirecto.com.ar/incidents/view/796137-5" TargetMode="External"/><Relationship Id="rId16" Type="http://schemas.openxmlformats.org/officeDocument/2006/relationships/hyperlink" Target="https://webagentes.canaldirecto.com.ar/incidents/view/678306-2" TargetMode="External"/><Relationship Id="rId221" Type="http://schemas.openxmlformats.org/officeDocument/2006/relationships/hyperlink" Target="https://webagentes.canaldirecto.com.ar/incidents/view/797724-2" TargetMode="External"/><Relationship Id="rId242" Type="http://schemas.openxmlformats.org/officeDocument/2006/relationships/hyperlink" Target="https://webagentes.canaldirecto.com.ar/incidents/view/815347-8" TargetMode="External"/><Relationship Id="rId263" Type="http://schemas.openxmlformats.org/officeDocument/2006/relationships/hyperlink" Target="https://webagentes.canaldirecto.com.ar/incidents/view/815350-2" TargetMode="External"/><Relationship Id="rId37" Type="http://schemas.openxmlformats.org/officeDocument/2006/relationships/hyperlink" Target="https://webagentes.canaldirecto.com.ar/incidents/view/696528-6" TargetMode="External"/><Relationship Id="rId58" Type="http://schemas.openxmlformats.org/officeDocument/2006/relationships/hyperlink" Target="https://webagentes.canaldirecto.com.ar/incidents/view/708375-6" TargetMode="External"/><Relationship Id="rId79" Type="http://schemas.openxmlformats.org/officeDocument/2006/relationships/hyperlink" Target="https://webagentes.canaldirecto.com.ar/incidents/view/720343-9" TargetMode="External"/><Relationship Id="rId102" Type="http://schemas.openxmlformats.org/officeDocument/2006/relationships/hyperlink" Target="https://webagentes.canaldirecto.com.ar/incidents/view/740680-5" TargetMode="External"/><Relationship Id="rId123" Type="http://schemas.openxmlformats.org/officeDocument/2006/relationships/hyperlink" Target="https://webagentes.canaldirecto.com.ar/incidents/view/752004-4" TargetMode="External"/><Relationship Id="rId144" Type="http://schemas.openxmlformats.org/officeDocument/2006/relationships/hyperlink" Target="https://webagentes.canaldirecto.com.ar/incidents/view/755977-2" TargetMode="External"/><Relationship Id="rId90" Type="http://schemas.openxmlformats.org/officeDocument/2006/relationships/hyperlink" Target="https://webagentes.canaldirecto.com.ar/incidents/view/727628-6" TargetMode="External"/><Relationship Id="rId165" Type="http://schemas.openxmlformats.org/officeDocument/2006/relationships/hyperlink" Target="https://webagentes.canaldirecto.com.ar/incidents/view/764894-2" TargetMode="External"/><Relationship Id="rId186" Type="http://schemas.openxmlformats.org/officeDocument/2006/relationships/hyperlink" Target="https://webagentes.canaldirecto.com.ar/incidents/view/774061-1" TargetMode="External"/><Relationship Id="rId211" Type="http://schemas.openxmlformats.org/officeDocument/2006/relationships/hyperlink" Target="https://webagentes.canaldirecto.com.ar/incidents/view/792717-7" TargetMode="External"/><Relationship Id="rId232" Type="http://schemas.openxmlformats.org/officeDocument/2006/relationships/hyperlink" Target="https://webagentes.canaldirecto.com.ar/incidents/view/806640-0" TargetMode="External"/><Relationship Id="rId253" Type="http://schemas.openxmlformats.org/officeDocument/2006/relationships/hyperlink" Target="https://webagentes.canaldirecto.com.ar/incidents/view/792711-3" TargetMode="External"/><Relationship Id="rId27" Type="http://schemas.openxmlformats.org/officeDocument/2006/relationships/hyperlink" Target="https://webagentes.canaldirecto.com.ar/incidents/view/689349-3" TargetMode="External"/><Relationship Id="rId48" Type="http://schemas.openxmlformats.org/officeDocument/2006/relationships/hyperlink" Target="https://webagentes.canaldirecto.com.ar/incidents/view/711399-6" TargetMode="External"/><Relationship Id="rId69" Type="http://schemas.openxmlformats.org/officeDocument/2006/relationships/hyperlink" Target="https://webagentes.canaldirecto.com.ar/incidents/view/708990-9" TargetMode="External"/><Relationship Id="rId113" Type="http://schemas.openxmlformats.org/officeDocument/2006/relationships/hyperlink" Target="https://webagentes.canaldirecto.com.ar/incidents/view/741406-2" TargetMode="External"/><Relationship Id="rId134" Type="http://schemas.openxmlformats.org/officeDocument/2006/relationships/hyperlink" Target="https://webagentes.canaldirecto.com.ar/incidents/view/756213-8" TargetMode="External"/><Relationship Id="rId80" Type="http://schemas.openxmlformats.org/officeDocument/2006/relationships/hyperlink" Target="https://webagentes.canaldirecto.com.ar/incidents/view/720340-2" TargetMode="External"/><Relationship Id="rId155" Type="http://schemas.openxmlformats.org/officeDocument/2006/relationships/hyperlink" Target="https://webagentes.canaldirecto.com.ar/incidents/view/765387-4" TargetMode="External"/><Relationship Id="rId176" Type="http://schemas.openxmlformats.org/officeDocument/2006/relationships/hyperlink" Target="https://webagentes.canaldirecto.com.ar/incidents/view/774072-7" TargetMode="External"/><Relationship Id="rId197" Type="http://schemas.openxmlformats.org/officeDocument/2006/relationships/hyperlink" Target="https://webagentes.canaldirecto.com.ar/incidents/view/779452-4" TargetMode="External"/><Relationship Id="rId201" Type="http://schemas.openxmlformats.org/officeDocument/2006/relationships/hyperlink" Target="https://webagentes.canaldirecto.com.ar/incidents/view/796136-6" TargetMode="External"/><Relationship Id="rId222" Type="http://schemas.openxmlformats.org/officeDocument/2006/relationships/hyperlink" Target="https://webagentes.canaldirecto.com.ar/incidents/view/797723-3" TargetMode="External"/><Relationship Id="rId243" Type="http://schemas.openxmlformats.org/officeDocument/2006/relationships/hyperlink" Target="https://webagentes.canaldirecto.com.ar/incidents/view/815202-6" TargetMode="External"/><Relationship Id="rId264" Type="http://schemas.openxmlformats.org/officeDocument/2006/relationships/hyperlink" Target="https://webagentes.canaldirecto.com.ar/incidents/view/815349-6" TargetMode="External"/><Relationship Id="rId17" Type="http://schemas.openxmlformats.org/officeDocument/2006/relationships/hyperlink" Target="https://webagentes.canaldirecto.com.ar/incidents/view/672383-9" TargetMode="External"/><Relationship Id="rId38" Type="http://schemas.openxmlformats.org/officeDocument/2006/relationships/hyperlink" Target="https://webagentes.canaldirecto.com.ar/incidents/view/696527-7" TargetMode="External"/><Relationship Id="rId59" Type="http://schemas.openxmlformats.org/officeDocument/2006/relationships/hyperlink" Target="https://webagentes.canaldirecto.com.ar/incidents/view/708374-7" TargetMode="External"/><Relationship Id="rId103" Type="http://schemas.openxmlformats.org/officeDocument/2006/relationships/hyperlink" Target="https://webagentes.canaldirecto.com.ar/incidents/view/738994-2" TargetMode="External"/><Relationship Id="rId124" Type="http://schemas.openxmlformats.org/officeDocument/2006/relationships/hyperlink" Target="https://webagentes.canaldirecto.com.ar/incidents/view/751973-8" TargetMode="External"/><Relationship Id="rId70" Type="http://schemas.openxmlformats.org/officeDocument/2006/relationships/hyperlink" Target="https://webagentes.canaldirecto.com.ar/incidents/view/708989-3" TargetMode="External"/><Relationship Id="rId91" Type="http://schemas.openxmlformats.org/officeDocument/2006/relationships/hyperlink" Target="https://webagentes.canaldirecto.com.ar/incidents/view/727396-0" TargetMode="External"/><Relationship Id="rId145" Type="http://schemas.openxmlformats.org/officeDocument/2006/relationships/hyperlink" Target="https://webagentes.canaldirecto.com.ar/incidents/view/755976-3" TargetMode="External"/><Relationship Id="rId166" Type="http://schemas.openxmlformats.org/officeDocument/2006/relationships/hyperlink" Target="https://webagentes.canaldirecto.com.ar/incidents/view/764893-3" TargetMode="External"/><Relationship Id="rId187" Type="http://schemas.openxmlformats.org/officeDocument/2006/relationships/hyperlink" Target="https://webagentes.canaldirecto.com.ar/incidents/view/773096-0" TargetMode="External"/><Relationship Id="rId1" Type="http://schemas.openxmlformats.org/officeDocument/2006/relationships/hyperlink" Target="https://webagentes.canaldirecto.com.ar/incidents/view/682215-8" TargetMode="External"/><Relationship Id="rId212" Type="http://schemas.openxmlformats.org/officeDocument/2006/relationships/hyperlink" Target="https://webagentes.canaldirecto.com.ar/incidents/view/792716-8" TargetMode="External"/><Relationship Id="rId233" Type="http://schemas.openxmlformats.org/officeDocument/2006/relationships/hyperlink" Target="https://webagentes.canaldirecto.com.ar/incidents/view/806538-6" TargetMode="External"/><Relationship Id="rId254" Type="http://schemas.openxmlformats.org/officeDocument/2006/relationships/hyperlink" Target="https://webagentes.canaldirecto.com.ar/incidents/view/819829-5" TargetMode="External"/><Relationship Id="rId28" Type="http://schemas.openxmlformats.org/officeDocument/2006/relationships/hyperlink" Target="https://webagentes.canaldirecto.com.ar/incidents/view/689232-4" TargetMode="External"/><Relationship Id="rId49" Type="http://schemas.openxmlformats.org/officeDocument/2006/relationships/hyperlink" Target="https://webagentes.canaldirecto.com.ar/incidents/view/708990-9" TargetMode="External"/><Relationship Id="rId114" Type="http://schemas.openxmlformats.org/officeDocument/2006/relationships/hyperlink" Target="https://webagentes.canaldirecto.com.ar/incidents/view/741405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7"/>
  <sheetViews>
    <sheetView tabSelected="1" zoomScaleNormal="100" workbookViewId="0">
      <selection activeCell="D23" sqref="D23"/>
    </sheetView>
  </sheetViews>
  <sheetFormatPr baseColWidth="10" defaultColWidth="11.42578125" defaultRowHeight="15" x14ac:dyDescent="0.25"/>
  <cols>
    <col min="1" max="1" width="11.42578125" style="12"/>
    <col min="2" max="2" width="9.42578125" style="12" bestFit="1" customWidth="1"/>
    <col min="3" max="3" width="17.7109375" style="12" bestFit="1" customWidth="1"/>
    <col min="4" max="4" width="26.85546875" style="12" bestFit="1" customWidth="1"/>
    <col min="5" max="5" width="34.28515625" style="12" bestFit="1" customWidth="1"/>
    <col min="6" max="6" width="19.28515625" style="20" bestFit="1" customWidth="1"/>
    <col min="7" max="7" width="20.42578125" style="23" bestFit="1" customWidth="1"/>
    <col min="8" max="8" width="12.140625" style="29" customWidth="1"/>
    <col min="9" max="9" width="8.7109375" style="23" bestFit="1" customWidth="1"/>
    <col min="10" max="10" width="10.28515625" style="30" bestFit="1" customWidth="1"/>
    <col min="11" max="11" width="10.5703125" style="29" bestFit="1" customWidth="1"/>
    <col min="12" max="12" width="13.140625" style="29" bestFit="1" customWidth="1"/>
    <col min="13" max="13" width="12" style="23" bestFit="1" customWidth="1"/>
    <col min="14" max="16384" width="11.42578125" style="12"/>
  </cols>
  <sheetData>
    <row r="1" spans="2:13" ht="15.75" thickBot="1" x14ac:dyDescent="0.3"/>
    <row r="2" spans="2:13" ht="15.75" thickBot="1" x14ac:dyDescent="0.3">
      <c r="B2" s="1" t="s">
        <v>14</v>
      </c>
      <c r="C2" s="142" t="s">
        <v>31</v>
      </c>
      <c r="D2" s="143"/>
      <c r="E2" s="144"/>
    </row>
    <row r="3" spans="2:13" ht="15.75" thickBot="1" x14ac:dyDescent="0.3"/>
    <row r="4" spans="2:13" s="15" customFormat="1" ht="15.75" thickBot="1" x14ac:dyDescent="0.3">
      <c r="B4" s="13" t="s">
        <v>0</v>
      </c>
      <c r="C4" s="14" t="s">
        <v>1</v>
      </c>
      <c r="D4" s="14" t="s">
        <v>2</v>
      </c>
      <c r="E4" s="14" t="s">
        <v>3</v>
      </c>
      <c r="F4" s="21" t="s">
        <v>4</v>
      </c>
      <c r="G4" s="31" t="s">
        <v>13</v>
      </c>
      <c r="H4" s="32" t="s">
        <v>6</v>
      </c>
      <c r="I4" s="31" t="s">
        <v>7</v>
      </c>
      <c r="J4" s="33" t="s">
        <v>8</v>
      </c>
      <c r="K4" s="32" t="s">
        <v>9</v>
      </c>
      <c r="L4" s="32" t="s">
        <v>10</v>
      </c>
      <c r="M4" s="24" t="s">
        <v>5</v>
      </c>
    </row>
    <row r="5" spans="2:13" s="15" customFormat="1" ht="15.75" thickBot="1" x14ac:dyDescent="0.3">
      <c r="B5" s="18" t="s">
        <v>392</v>
      </c>
      <c r="C5" s="19" t="s">
        <v>111</v>
      </c>
      <c r="D5" s="19" t="s">
        <v>26</v>
      </c>
      <c r="E5" s="19" t="s">
        <v>40</v>
      </c>
      <c r="F5" s="22" t="s">
        <v>393</v>
      </c>
      <c r="G5" s="19">
        <v>1</v>
      </c>
      <c r="H5" s="95">
        <v>61633</v>
      </c>
      <c r="I5" s="19"/>
      <c r="J5" s="95"/>
      <c r="K5" s="95"/>
      <c r="L5" s="95">
        <v>61633</v>
      </c>
      <c r="M5" s="96">
        <v>20260423</v>
      </c>
    </row>
    <row r="6" spans="2:13" ht="15.75" thickBot="1" x14ac:dyDescent="0.3">
      <c r="G6" s="43">
        <f>SUM(G5:G5)</f>
        <v>1</v>
      </c>
      <c r="H6" s="44">
        <f>G6*E24</f>
        <v>61633</v>
      </c>
      <c r="I6" s="45">
        <f>SUM(I5:I5)</f>
        <v>0</v>
      </c>
      <c r="J6" s="47">
        <f>E27</f>
        <v>776.6</v>
      </c>
      <c r="K6" s="35">
        <f>J6*I6</f>
        <v>0</v>
      </c>
      <c r="L6" s="35">
        <f>+H6+H7</f>
        <v>61633</v>
      </c>
      <c r="M6" s="25">
        <f>K6+H6</f>
        <v>61633</v>
      </c>
    </row>
    <row r="7" spans="2:13" ht="15.75" thickBot="1" x14ac:dyDescent="0.3">
      <c r="F7" s="46" t="str">
        <f>C28</f>
        <v>Inc Adicional</v>
      </c>
      <c r="G7" s="108">
        <v>0</v>
      </c>
      <c r="H7" s="137">
        <f>G7*E28</f>
        <v>0</v>
      </c>
      <c r="I7" s="37"/>
      <c r="J7" s="38"/>
      <c r="K7" s="26"/>
      <c r="L7" s="26"/>
      <c r="M7" s="26"/>
    </row>
    <row r="8" spans="2:13" ht="15.75" thickBot="1" x14ac:dyDescent="0.3">
      <c r="F8" s="46" t="str">
        <f>C25</f>
        <v>COSTO VIEJO</v>
      </c>
      <c r="G8" s="45">
        <v>0</v>
      </c>
      <c r="H8" s="28">
        <f>G8*E25</f>
        <v>0</v>
      </c>
      <c r="I8" s="37"/>
      <c r="J8" s="38"/>
      <c r="K8" s="26"/>
      <c r="L8" s="26"/>
      <c r="M8" s="26"/>
    </row>
    <row r="9" spans="2:13" ht="15.75" thickBot="1" x14ac:dyDescent="0.3">
      <c r="F9" s="46" t="s">
        <v>357</v>
      </c>
      <c r="G9" s="45"/>
      <c r="H9" s="28"/>
      <c r="I9" s="37"/>
      <c r="J9" s="38"/>
      <c r="K9" s="26"/>
      <c r="L9" s="26"/>
      <c r="M9" s="26"/>
    </row>
    <row r="10" spans="2:13" ht="15.75" thickBot="1" x14ac:dyDescent="0.3">
      <c r="H10" s="23"/>
      <c r="K10" s="23"/>
      <c r="L10" s="23"/>
    </row>
    <row r="11" spans="2:13" ht="15.75" thickBot="1" x14ac:dyDescent="0.3">
      <c r="B11" s="13" t="s">
        <v>0</v>
      </c>
      <c r="C11" s="14" t="s">
        <v>1</v>
      </c>
      <c r="D11" s="14" t="s">
        <v>2</v>
      </c>
      <c r="E11" s="14" t="s">
        <v>3</v>
      </c>
      <c r="F11" s="21" t="s">
        <v>4</v>
      </c>
      <c r="G11" s="31" t="s">
        <v>13</v>
      </c>
      <c r="H11" s="32" t="s">
        <v>6</v>
      </c>
      <c r="I11" s="31" t="s">
        <v>7</v>
      </c>
      <c r="J11" s="33" t="s">
        <v>8</v>
      </c>
      <c r="K11" s="32" t="s">
        <v>9</v>
      </c>
      <c r="L11" s="32" t="s">
        <v>10</v>
      </c>
      <c r="M11" s="24" t="s">
        <v>5</v>
      </c>
    </row>
    <row r="12" spans="2:13" ht="15.75" thickBot="1" x14ac:dyDescent="0.3">
      <c r="B12" s="18"/>
      <c r="C12" s="19"/>
      <c r="D12" s="19"/>
      <c r="E12" s="19"/>
      <c r="F12" s="22"/>
      <c r="G12" s="39"/>
      <c r="H12" s="40"/>
      <c r="I12" s="41"/>
      <c r="J12" s="42"/>
      <c r="K12" s="40"/>
      <c r="L12" s="40"/>
      <c r="M12" s="27"/>
    </row>
    <row r="13" spans="2:13" ht="15.75" thickBot="1" x14ac:dyDescent="0.3">
      <c r="G13" s="34">
        <f>SUM(G12:G12)</f>
        <v>0</v>
      </c>
      <c r="H13" s="35">
        <f>G13*1650</f>
        <v>0</v>
      </c>
      <c r="I13" s="34">
        <f>SUM(I12:I12)</f>
        <v>0</v>
      </c>
      <c r="J13" s="36">
        <v>13.5</v>
      </c>
      <c r="K13" s="35">
        <f>J13*I13</f>
        <v>0</v>
      </c>
      <c r="L13" s="35">
        <f>K13+H13</f>
        <v>0</v>
      </c>
      <c r="M13" s="25">
        <f>L13</f>
        <v>0</v>
      </c>
    </row>
    <row r="14" spans="2:13" x14ac:dyDescent="0.25">
      <c r="G14" s="37"/>
      <c r="H14" s="26"/>
      <c r="I14" s="37"/>
      <c r="J14" s="38"/>
      <c r="K14" s="26"/>
      <c r="L14" s="26"/>
      <c r="M14" s="26"/>
    </row>
    <row r="15" spans="2:13" ht="15.75" thickBot="1" x14ac:dyDescent="0.3">
      <c r="G15" s="37"/>
      <c r="H15" s="26"/>
      <c r="I15" s="37"/>
      <c r="J15" s="38"/>
      <c r="K15" s="26"/>
      <c r="L15" s="26"/>
      <c r="M15" s="26"/>
    </row>
    <row r="16" spans="2:13" x14ac:dyDescent="0.25">
      <c r="B16" s="13" t="s">
        <v>0</v>
      </c>
      <c r="C16" s="14" t="s">
        <v>1</v>
      </c>
      <c r="D16" s="14" t="s">
        <v>2</v>
      </c>
      <c r="E16" s="14" t="s">
        <v>3</v>
      </c>
      <c r="F16" s="21" t="s">
        <v>4</v>
      </c>
      <c r="G16" s="31" t="s">
        <v>13</v>
      </c>
      <c r="H16" s="32" t="s">
        <v>6</v>
      </c>
      <c r="I16" s="31" t="s">
        <v>7</v>
      </c>
      <c r="J16" s="33" t="s">
        <v>8</v>
      </c>
      <c r="K16" s="32" t="s">
        <v>9</v>
      </c>
      <c r="L16" s="32" t="s">
        <v>10</v>
      </c>
      <c r="M16" s="24" t="s">
        <v>5</v>
      </c>
    </row>
    <row r="17" spans="2:13" ht="15.75" thickBot="1" x14ac:dyDescent="0.3">
      <c r="B17" s="63"/>
      <c r="C17" s="64"/>
      <c r="D17" s="64"/>
      <c r="E17" s="64"/>
      <c r="F17" s="89"/>
      <c r="G17" s="64"/>
      <c r="H17" s="65"/>
      <c r="I17" s="135"/>
      <c r="J17" s="136"/>
      <c r="K17" s="136"/>
      <c r="L17" s="65"/>
      <c r="M17" s="66"/>
    </row>
    <row r="18" spans="2:13" ht="15.75" thickBot="1" x14ac:dyDescent="0.3">
      <c r="G18" s="34">
        <f>SUM(G17:G17)</f>
        <v>0</v>
      </c>
      <c r="H18" s="35">
        <f>G18*E31</f>
        <v>0</v>
      </c>
      <c r="I18" s="34">
        <f>SUM(I17:I17)</f>
        <v>0</v>
      </c>
      <c r="J18" s="36">
        <f>E32</f>
        <v>776.6</v>
      </c>
      <c r="K18" s="35">
        <f>J18*I18</f>
        <v>0</v>
      </c>
      <c r="L18" s="35">
        <f t="shared" ref="L18" si="0">K18+H18</f>
        <v>0</v>
      </c>
      <c r="M18" s="25">
        <f>L18</f>
        <v>0</v>
      </c>
    </row>
    <row r="19" spans="2:13" ht="15.75" thickBot="1" x14ac:dyDescent="0.3">
      <c r="M19" s="28">
        <f>M6+M13+M18</f>
        <v>61633</v>
      </c>
    </row>
    <row r="20" spans="2:13" ht="15.75" thickBot="1" x14ac:dyDescent="0.3">
      <c r="M20" s="26"/>
    </row>
    <row r="21" spans="2:13" x14ac:dyDescent="0.25">
      <c r="B21" s="147" t="s">
        <v>15</v>
      </c>
      <c r="C21" s="148"/>
      <c r="D21" s="148"/>
      <c r="E21" s="148"/>
      <c r="F21" s="148"/>
      <c r="G21" s="149"/>
    </row>
    <row r="22" spans="2:13" ht="15.75" thickBot="1" x14ac:dyDescent="0.3">
      <c r="B22" s="150"/>
      <c r="C22" s="151"/>
      <c r="D22" s="151"/>
      <c r="E22" s="151"/>
      <c r="F22" s="151"/>
      <c r="G22" s="152"/>
    </row>
    <row r="23" spans="2:13" x14ac:dyDescent="0.25">
      <c r="B23" s="9" t="s">
        <v>16</v>
      </c>
      <c r="C23" s="7" t="s">
        <v>17</v>
      </c>
      <c r="D23" s="7" t="s">
        <v>18</v>
      </c>
      <c r="E23" s="8" t="s">
        <v>19</v>
      </c>
      <c r="F23" s="145" t="s">
        <v>20</v>
      </c>
      <c r="G23" s="146"/>
    </row>
    <row r="24" spans="2:13" x14ac:dyDescent="0.25">
      <c r="B24" s="10">
        <v>1</v>
      </c>
      <c r="C24" s="2" t="s">
        <v>21</v>
      </c>
      <c r="D24" s="2">
        <f>G6</f>
        <v>1</v>
      </c>
      <c r="E24" s="3">
        <v>61633</v>
      </c>
      <c r="F24" s="138">
        <f>+E24*D24</f>
        <v>61633</v>
      </c>
      <c r="G24" s="139"/>
    </row>
    <row r="25" spans="2:13" x14ac:dyDescent="0.25">
      <c r="B25" s="10"/>
      <c r="C25" s="2" t="s">
        <v>184</v>
      </c>
      <c r="D25" s="2">
        <f>G8</f>
        <v>0</v>
      </c>
      <c r="E25" s="3">
        <v>56596</v>
      </c>
      <c r="F25" s="138">
        <f>+E25*D25</f>
        <v>0</v>
      </c>
      <c r="G25" s="139"/>
    </row>
    <row r="26" spans="2:13" x14ac:dyDescent="0.25">
      <c r="B26" s="10"/>
      <c r="C26" s="2" t="str">
        <f>F9</f>
        <v>Remanente</v>
      </c>
      <c r="D26" s="2">
        <f>G9</f>
        <v>0</v>
      </c>
      <c r="E26" s="3">
        <v>46293</v>
      </c>
      <c r="F26" s="138"/>
      <c r="G26" s="139"/>
    </row>
    <row r="27" spans="2:13" x14ac:dyDescent="0.25">
      <c r="B27" s="10"/>
      <c r="C27" s="2" t="s">
        <v>22</v>
      </c>
      <c r="D27" s="2">
        <f>I6</f>
        <v>0</v>
      </c>
      <c r="E27" s="3">
        <v>776.6</v>
      </c>
      <c r="F27" s="138">
        <f>D27*E27</f>
        <v>0</v>
      </c>
      <c r="G27" s="139"/>
    </row>
    <row r="28" spans="2:13" x14ac:dyDescent="0.25">
      <c r="B28" s="10"/>
      <c r="C28" s="2" t="s">
        <v>30</v>
      </c>
      <c r="D28" s="2">
        <f>G7</f>
        <v>0</v>
      </c>
      <c r="E28" s="3">
        <v>61633</v>
      </c>
      <c r="F28" s="138">
        <f>E28*D28</f>
        <v>0</v>
      </c>
      <c r="G28" s="139"/>
    </row>
    <row r="29" spans="2:13" x14ac:dyDescent="0.25">
      <c r="B29" s="10"/>
      <c r="C29" s="2" t="s">
        <v>25</v>
      </c>
      <c r="D29" s="2">
        <f>G13</f>
        <v>0</v>
      </c>
      <c r="E29" s="3">
        <v>92435</v>
      </c>
      <c r="F29" s="138">
        <f t="shared" ref="F29:F32" si="1">D29*E29</f>
        <v>0</v>
      </c>
      <c r="G29" s="139"/>
    </row>
    <row r="30" spans="2:13" x14ac:dyDescent="0.25">
      <c r="B30" s="10"/>
      <c r="C30" s="2" t="s">
        <v>22</v>
      </c>
      <c r="D30" s="2">
        <f>I13</f>
        <v>0</v>
      </c>
      <c r="E30" s="3">
        <v>776.6</v>
      </c>
      <c r="F30" s="138">
        <f t="shared" si="1"/>
        <v>0</v>
      </c>
      <c r="G30" s="139"/>
    </row>
    <row r="31" spans="2:13" x14ac:dyDescent="0.25">
      <c r="B31" s="10">
        <v>2</v>
      </c>
      <c r="C31" s="2" t="s">
        <v>23</v>
      </c>
      <c r="D31" s="2">
        <f>G18</f>
        <v>0</v>
      </c>
      <c r="E31" s="3">
        <v>30805</v>
      </c>
      <c r="F31" s="138">
        <f t="shared" si="1"/>
        <v>0</v>
      </c>
      <c r="G31" s="139"/>
    </row>
    <row r="32" spans="2:13" x14ac:dyDescent="0.25">
      <c r="B32" s="11"/>
      <c r="C32" s="2" t="s">
        <v>22</v>
      </c>
      <c r="D32" s="2">
        <f>I18</f>
        <v>0</v>
      </c>
      <c r="E32" s="3">
        <v>776.6</v>
      </c>
      <c r="F32" s="138">
        <f t="shared" si="1"/>
        <v>0</v>
      </c>
      <c r="G32" s="139"/>
    </row>
    <row r="33" spans="2:7" ht="15.75" thickBot="1" x14ac:dyDescent="0.3">
      <c r="B33" s="4" t="s">
        <v>24</v>
      </c>
      <c r="C33" s="5"/>
      <c r="D33" s="5"/>
      <c r="E33" s="6"/>
      <c r="F33" s="140">
        <f>SUM(F24:G32)</f>
        <v>61633</v>
      </c>
      <c r="G33" s="141"/>
    </row>
    <row r="56" spans="2:2" x14ac:dyDescent="0.25">
      <c r="B56" s="17"/>
    </row>
    <row r="57" spans="2:2" x14ac:dyDescent="0.25">
      <c r="B57" s="17"/>
    </row>
  </sheetData>
  <sortState xmlns:xlrd2="http://schemas.microsoft.com/office/spreadsheetml/2017/richdata2" ref="A10:M15">
    <sortCondition ref="M10:M15"/>
  </sortState>
  <mergeCells count="13">
    <mergeCell ref="F27:G27"/>
    <mergeCell ref="F32:G32"/>
    <mergeCell ref="F33:G33"/>
    <mergeCell ref="C2:E2"/>
    <mergeCell ref="F23:G23"/>
    <mergeCell ref="F24:G24"/>
    <mergeCell ref="B21:G22"/>
    <mergeCell ref="F29:G29"/>
    <mergeCell ref="F30:G30"/>
    <mergeCell ref="F31:G31"/>
    <mergeCell ref="F28:G28"/>
    <mergeCell ref="F25:G25"/>
    <mergeCell ref="F26:G26"/>
  </mergeCells>
  <hyperlinks>
    <hyperlink ref="B5" r:id="rId1" display="https://webagentes.canaldirecto.com.ar/incidents/view/830132-1" xr:uid="{1198E767-C96C-4AA8-997D-1F69F37F0E39}"/>
  </hyperlinks>
  <printOptions horizontalCentered="1"/>
  <pageMargins left="7.874015748031496E-2" right="7.874015748031496E-2" top="0.74803149606299213" bottom="0.74803149606299213" header="3.937007874015748E-2" footer="3.937007874015748E-2"/>
  <pageSetup paperSize="9" scale="70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M1"/>
  <sheetViews>
    <sheetView workbookViewId="0">
      <selection activeCell="E31" sqref="E31"/>
    </sheetView>
  </sheetViews>
  <sheetFormatPr baseColWidth="10" defaultRowHeight="15" x14ac:dyDescent="0.25"/>
  <cols>
    <col min="13" max="13" width="11.5703125" style="1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2"/>
  <sheetViews>
    <sheetView topLeftCell="A380" workbookViewId="0">
      <selection activeCell="L402" sqref="A402:L402"/>
    </sheetView>
  </sheetViews>
  <sheetFormatPr baseColWidth="10" defaultRowHeight="15" x14ac:dyDescent="0.25"/>
  <cols>
    <col min="1" max="1" width="9.42578125" bestFit="1" customWidth="1"/>
    <col min="2" max="2" width="24.42578125" bestFit="1" customWidth="1"/>
    <col min="3" max="3" width="28.28515625" bestFit="1" customWidth="1"/>
    <col min="4" max="4" width="32.42578125" bestFit="1" customWidth="1"/>
    <col min="5" max="5" width="18.42578125" style="81" bestFit="1" customWidth="1"/>
    <col min="6" max="6" width="2" bestFit="1" customWidth="1"/>
    <col min="7" max="7" width="11.5703125" style="48" bestFit="1" customWidth="1"/>
    <col min="8" max="8" width="8.85546875" bestFit="1" customWidth="1"/>
    <col min="9" max="9" width="9.28515625" style="48" bestFit="1" customWidth="1"/>
    <col min="10" max="10" width="10.5703125" style="48" bestFit="1" customWidth="1"/>
    <col min="11" max="11" width="11.5703125" style="48" bestFit="1" customWidth="1"/>
    <col min="12" max="12" width="12" bestFit="1" customWidth="1"/>
  </cols>
  <sheetData>
    <row r="1" spans="1:12" ht="15.75" thickBot="1" x14ac:dyDescent="0.3">
      <c r="A1" t="s">
        <v>0</v>
      </c>
      <c r="B1" t="s">
        <v>1</v>
      </c>
      <c r="C1" t="s">
        <v>2</v>
      </c>
      <c r="D1" t="s">
        <v>3</v>
      </c>
      <c r="E1" s="81" t="s">
        <v>4</v>
      </c>
      <c r="G1" s="48" t="s">
        <v>6</v>
      </c>
      <c r="H1" t="s">
        <v>7</v>
      </c>
      <c r="I1" s="48" t="s">
        <v>8</v>
      </c>
      <c r="J1" s="48" t="s">
        <v>9</v>
      </c>
      <c r="K1" s="48" t="s">
        <v>10</v>
      </c>
      <c r="L1" t="s">
        <v>5</v>
      </c>
    </row>
    <row r="2" spans="1:12" x14ac:dyDescent="0.25">
      <c r="A2" s="67" t="s">
        <v>73</v>
      </c>
      <c r="B2" s="68" t="s">
        <v>12</v>
      </c>
      <c r="C2" s="68" t="s">
        <v>74</v>
      </c>
      <c r="D2" s="68" t="s">
        <v>34</v>
      </c>
      <c r="E2" s="82" t="s">
        <v>75</v>
      </c>
      <c r="F2" s="68">
        <v>1</v>
      </c>
      <c r="G2" s="69">
        <v>2200</v>
      </c>
      <c r="H2" s="68"/>
      <c r="I2" s="69"/>
      <c r="J2" s="69"/>
      <c r="K2" s="69">
        <f t="shared" ref="K2:K19" si="0">J2+G2</f>
        <v>2200</v>
      </c>
      <c r="L2" s="70">
        <v>20210809</v>
      </c>
    </row>
    <row r="3" spans="1:12" x14ac:dyDescent="0.25">
      <c r="A3" s="71" t="s">
        <v>70</v>
      </c>
      <c r="B3" s="51" t="s">
        <v>12</v>
      </c>
      <c r="C3" s="51" t="s">
        <v>28</v>
      </c>
      <c r="D3" s="51" t="s">
        <v>71</v>
      </c>
      <c r="E3" s="83" t="s">
        <v>72</v>
      </c>
      <c r="F3" s="51">
        <v>1</v>
      </c>
      <c r="G3" s="52">
        <v>2200</v>
      </c>
      <c r="H3" s="51"/>
      <c r="I3" s="52"/>
      <c r="J3" s="52"/>
      <c r="K3" s="52">
        <f t="shared" si="0"/>
        <v>2200</v>
      </c>
      <c r="L3" s="72">
        <v>20210824</v>
      </c>
    </row>
    <row r="4" spans="1:12" x14ac:dyDescent="0.25">
      <c r="A4" s="61" t="s">
        <v>44</v>
      </c>
      <c r="B4" s="49" t="s">
        <v>12</v>
      </c>
      <c r="C4" s="49" t="s">
        <v>26</v>
      </c>
      <c r="D4" s="49" t="s">
        <v>40</v>
      </c>
      <c r="E4" s="84">
        <v>7949550</v>
      </c>
      <c r="F4" s="49">
        <v>1</v>
      </c>
      <c r="G4" s="50">
        <v>2200</v>
      </c>
      <c r="H4" s="49"/>
      <c r="I4" s="50"/>
      <c r="J4" s="50"/>
      <c r="K4" s="50">
        <f t="shared" si="0"/>
        <v>2200</v>
      </c>
      <c r="L4" s="62">
        <v>20211013</v>
      </c>
    </row>
    <row r="5" spans="1:12" s="16" customFormat="1" x14ac:dyDescent="0.25">
      <c r="A5" s="73" t="s">
        <v>67</v>
      </c>
      <c r="B5" s="53" t="s">
        <v>27</v>
      </c>
      <c r="C5" s="53" t="s">
        <v>29</v>
      </c>
      <c r="D5" s="53" t="s">
        <v>68</v>
      </c>
      <c r="E5" s="85" t="s">
        <v>69</v>
      </c>
      <c r="F5" s="53">
        <v>1</v>
      </c>
      <c r="G5" s="54">
        <v>2200</v>
      </c>
      <c r="H5" s="53"/>
      <c r="I5" s="54"/>
      <c r="J5" s="54"/>
      <c r="K5" s="54">
        <f t="shared" si="0"/>
        <v>2200</v>
      </c>
      <c r="L5" s="74">
        <v>20211014</v>
      </c>
    </row>
    <row r="6" spans="1:12" x14ac:dyDescent="0.25">
      <c r="A6" s="61" t="s">
        <v>45</v>
      </c>
      <c r="B6" s="49" t="s">
        <v>27</v>
      </c>
      <c r="C6" s="49" t="s">
        <v>46</v>
      </c>
      <c r="D6" s="49" t="s">
        <v>47</v>
      </c>
      <c r="E6" s="84" t="s">
        <v>48</v>
      </c>
      <c r="F6" s="49">
        <v>1</v>
      </c>
      <c r="G6" s="50">
        <v>2200</v>
      </c>
      <c r="H6" s="49"/>
      <c r="I6" s="50"/>
      <c r="J6" s="50"/>
      <c r="K6" s="50">
        <f t="shared" si="0"/>
        <v>2200</v>
      </c>
      <c r="L6" s="62">
        <v>20211019</v>
      </c>
    </row>
    <row r="7" spans="1:12" x14ac:dyDescent="0.25">
      <c r="A7" s="61" t="s">
        <v>49</v>
      </c>
      <c r="B7" s="49" t="s">
        <v>27</v>
      </c>
      <c r="C7" s="49" t="s">
        <v>46</v>
      </c>
      <c r="D7" s="49" t="s">
        <v>47</v>
      </c>
      <c r="E7" s="84" t="s">
        <v>50</v>
      </c>
      <c r="F7" s="49">
        <v>1</v>
      </c>
      <c r="G7" s="50">
        <v>2200</v>
      </c>
      <c r="H7" s="49"/>
      <c r="I7" s="50"/>
      <c r="J7" s="50"/>
      <c r="K7" s="50">
        <f t="shared" si="0"/>
        <v>2200</v>
      </c>
      <c r="L7" s="62">
        <v>20211019</v>
      </c>
    </row>
    <row r="8" spans="1:12" x14ac:dyDescent="0.25">
      <c r="A8" s="61" t="s">
        <v>51</v>
      </c>
      <c r="B8" s="49" t="s">
        <v>27</v>
      </c>
      <c r="C8" s="49" t="s">
        <v>46</v>
      </c>
      <c r="D8" s="49" t="s">
        <v>47</v>
      </c>
      <c r="E8" s="84" t="s">
        <v>52</v>
      </c>
      <c r="F8" s="49">
        <v>1</v>
      </c>
      <c r="G8" s="50">
        <v>2200</v>
      </c>
      <c r="H8" s="49"/>
      <c r="I8" s="50"/>
      <c r="J8" s="50"/>
      <c r="K8" s="50">
        <f t="shared" si="0"/>
        <v>2200</v>
      </c>
      <c r="L8" s="62">
        <v>20211019</v>
      </c>
    </row>
    <row r="9" spans="1:12" x14ac:dyDescent="0.25">
      <c r="A9" s="61" t="s">
        <v>53</v>
      </c>
      <c r="B9" s="49" t="s">
        <v>27</v>
      </c>
      <c r="C9" s="49" t="s">
        <v>46</v>
      </c>
      <c r="D9" s="49" t="s">
        <v>47</v>
      </c>
      <c r="E9" s="84" t="s">
        <v>54</v>
      </c>
      <c r="F9" s="49">
        <v>1</v>
      </c>
      <c r="G9" s="50">
        <v>2200</v>
      </c>
      <c r="H9" s="49"/>
      <c r="I9" s="50"/>
      <c r="J9" s="50"/>
      <c r="K9" s="50">
        <f t="shared" si="0"/>
        <v>2200</v>
      </c>
      <c r="L9" s="62">
        <v>20211019</v>
      </c>
    </row>
    <row r="10" spans="1:12" x14ac:dyDescent="0.25">
      <c r="A10" s="61" t="s">
        <v>55</v>
      </c>
      <c r="B10" s="49" t="s">
        <v>27</v>
      </c>
      <c r="C10" s="49" t="s">
        <v>46</v>
      </c>
      <c r="D10" s="49" t="s">
        <v>47</v>
      </c>
      <c r="E10" s="84" t="s">
        <v>56</v>
      </c>
      <c r="F10" s="49">
        <v>1</v>
      </c>
      <c r="G10" s="50">
        <v>2200</v>
      </c>
      <c r="H10" s="49"/>
      <c r="I10" s="50"/>
      <c r="J10" s="50"/>
      <c r="K10" s="50">
        <f t="shared" si="0"/>
        <v>2200</v>
      </c>
      <c r="L10" s="62">
        <v>20211019</v>
      </c>
    </row>
    <row r="11" spans="1:12" x14ac:dyDescent="0.25">
      <c r="A11" s="61" t="s">
        <v>57</v>
      </c>
      <c r="B11" s="49" t="s">
        <v>27</v>
      </c>
      <c r="C11" s="49" t="s">
        <v>46</v>
      </c>
      <c r="D11" s="49" t="s">
        <v>47</v>
      </c>
      <c r="E11" s="84" t="s">
        <v>58</v>
      </c>
      <c r="F11" s="49">
        <v>1</v>
      </c>
      <c r="G11" s="50">
        <v>2200</v>
      </c>
      <c r="H11" s="49"/>
      <c r="I11" s="50"/>
      <c r="J11" s="50"/>
      <c r="K11" s="50">
        <f t="shared" si="0"/>
        <v>2200</v>
      </c>
      <c r="L11" s="62">
        <v>20211019</v>
      </c>
    </row>
    <row r="12" spans="1:12" x14ac:dyDescent="0.25">
      <c r="A12" s="61" t="s">
        <v>59</v>
      </c>
      <c r="B12" s="49" t="s">
        <v>27</v>
      </c>
      <c r="C12" s="49" t="s">
        <v>46</v>
      </c>
      <c r="D12" s="49" t="s">
        <v>47</v>
      </c>
      <c r="E12" s="84" t="s">
        <v>60</v>
      </c>
      <c r="F12" s="49">
        <v>1</v>
      </c>
      <c r="G12" s="50">
        <v>2200</v>
      </c>
      <c r="H12" s="49"/>
      <c r="I12" s="50"/>
      <c r="J12" s="50"/>
      <c r="K12" s="50">
        <f t="shared" si="0"/>
        <v>2200</v>
      </c>
      <c r="L12" s="62">
        <v>20211019</v>
      </c>
    </row>
    <row r="13" spans="1:12" x14ac:dyDescent="0.25">
      <c r="A13" s="61" t="s">
        <v>61</v>
      </c>
      <c r="B13" s="49" t="s">
        <v>27</v>
      </c>
      <c r="C13" s="49" t="s">
        <v>46</v>
      </c>
      <c r="D13" s="49" t="s">
        <v>47</v>
      </c>
      <c r="E13" s="84" t="s">
        <v>62</v>
      </c>
      <c r="F13" s="49">
        <v>1</v>
      </c>
      <c r="G13" s="50">
        <v>2200</v>
      </c>
      <c r="H13" s="49"/>
      <c r="I13" s="50"/>
      <c r="J13" s="50"/>
      <c r="K13" s="50">
        <f t="shared" si="0"/>
        <v>2200</v>
      </c>
      <c r="L13" s="62">
        <v>20211019</v>
      </c>
    </row>
    <row r="14" spans="1:12" x14ac:dyDescent="0.25">
      <c r="A14" s="61" t="s">
        <v>63</v>
      </c>
      <c r="B14" s="49" t="s">
        <v>27</v>
      </c>
      <c r="C14" s="49" t="s">
        <v>46</v>
      </c>
      <c r="D14" s="49" t="s">
        <v>47</v>
      </c>
      <c r="E14" s="84" t="s">
        <v>64</v>
      </c>
      <c r="F14" s="49">
        <v>1</v>
      </c>
      <c r="G14" s="50">
        <v>2200</v>
      </c>
      <c r="H14" s="49"/>
      <c r="I14" s="50"/>
      <c r="J14" s="50"/>
      <c r="K14" s="50">
        <f t="shared" si="0"/>
        <v>2200</v>
      </c>
      <c r="L14" s="62">
        <v>20211019</v>
      </c>
    </row>
    <row r="15" spans="1:12" x14ac:dyDescent="0.25">
      <c r="A15" s="61" t="s">
        <v>65</v>
      </c>
      <c r="B15" s="49" t="s">
        <v>27</v>
      </c>
      <c r="C15" s="49" t="s">
        <v>46</v>
      </c>
      <c r="D15" s="49" t="s">
        <v>47</v>
      </c>
      <c r="E15" s="84" t="s">
        <v>66</v>
      </c>
      <c r="F15" s="49">
        <v>1</v>
      </c>
      <c r="G15" s="50">
        <v>2200</v>
      </c>
      <c r="H15" s="49"/>
      <c r="I15" s="50"/>
      <c r="J15" s="50"/>
      <c r="K15" s="50">
        <f t="shared" si="0"/>
        <v>2200</v>
      </c>
      <c r="L15" s="62">
        <v>20211019</v>
      </c>
    </row>
    <row r="16" spans="1:12" x14ac:dyDescent="0.25">
      <c r="A16" s="61" t="s">
        <v>39</v>
      </c>
      <c r="B16" s="49" t="s">
        <v>12</v>
      </c>
      <c r="C16" s="49" t="s">
        <v>26</v>
      </c>
      <c r="D16" s="49" t="s">
        <v>40</v>
      </c>
      <c r="E16" s="84">
        <v>7949550</v>
      </c>
      <c r="F16" s="49">
        <v>1</v>
      </c>
      <c r="G16" s="50">
        <v>2200</v>
      </c>
      <c r="H16" s="49"/>
      <c r="I16" s="50"/>
      <c r="J16" s="50"/>
      <c r="K16" s="50">
        <f t="shared" si="0"/>
        <v>2200</v>
      </c>
      <c r="L16" s="62">
        <v>20211027</v>
      </c>
    </row>
    <row r="17" spans="1:12" s="16" customFormat="1" x14ac:dyDescent="0.25">
      <c r="A17" s="75" t="s">
        <v>41</v>
      </c>
      <c r="B17" s="55" t="s">
        <v>27</v>
      </c>
      <c r="C17" s="55" t="s">
        <v>29</v>
      </c>
      <c r="D17" s="55" t="s">
        <v>42</v>
      </c>
      <c r="E17" s="86" t="s">
        <v>43</v>
      </c>
      <c r="F17" s="55">
        <v>1</v>
      </c>
      <c r="G17" s="56">
        <v>2200</v>
      </c>
      <c r="H17" s="55"/>
      <c r="I17" s="56"/>
      <c r="J17" s="56"/>
      <c r="K17" s="56">
        <f t="shared" si="0"/>
        <v>2200</v>
      </c>
      <c r="L17" s="76">
        <v>20211101</v>
      </c>
    </row>
    <row r="18" spans="1:12" x14ac:dyDescent="0.25">
      <c r="A18" s="71" t="s">
        <v>32</v>
      </c>
      <c r="B18" s="51" t="s">
        <v>12</v>
      </c>
      <c r="C18" s="51" t="s">
        <v>33</v>
      </c>
      <c r="D18" s="51" t="s">
        <v>34</v>
      </c>
      <c r="E18" s="83" t="s">
        <v>35</v>
      </c>
      <c r="F18" s="51">
        <v>1</v>
      </c>
      <c r="G18" s="52">
        <v>2200</v>
      </c>
      <c r="H18" s="51"/>
      <c r="I18" s="52"/>
      <c r="J18" s="52"/>
      <c r="K18" s="52">
        <f t="shared" si="0"/>
        <v>2200</v>
      </c>
      <c r="L18" s="72">
        <v>20211110</v>
      </c>
    </row>
    <row r="19" spans="1:12" s="16" customFormat="1" ht="15.75" thickBot="1" x14ac:dyDescent="0.3">
      <c r="A19" s="77" t="s">
        <v>36</v>
      </c>
      <c r="B19" s="78" t="s">
        <v>27</v>
      </c>
      <c r="C19" s="78" t="s">
        <v>29</v>
      </c>
      <c r="D19" s="78" t="s">
        <v>37</v>
      </c>
      <c r="E19" s="87" t="s">
        <v>38</v>
      </c>
      <c r="F19" s="78">
        <v>1</v>
      </c>
      <c r="G19" s="79">
        <v>2200</v>
      </c>
      <c r="H19" s="78"/>
      <c r="I19" s="79"/>
      <c r="J19" s="79"/>
      <c r="K19" s="79">
        <f t="shared" si="0"/>
        <v>2200</v>
      </c>
      <c r="L19" s="80">
        <v>20211117</v>
      </c>
    </row>
    <row r="20" spans="1:12" ht="15.75" thickBot="1" x14ac:dyDescent="0.3"/>
    <row r="21" spans="1:12" x14ac:dyDescent="0.25">
      <c r="A21" s="57" t="s">
        <v>76</v>
      </c>
      <c r="B21" s="58" t="s">
        <v>11</v>
      </c>
      <c r="C21" s="58" t="s">
        <v>74</v>
      </c>
      <c r="D21" s="58" t="s">
        <v>34</v>
      </c>
      <c r="E21" s="88" t="s">
        <v>77</v>
      </c>
      <c r="F21" s="58">
        <v>1</v>
      </c>
      <c r="G21" s="59">
        <v>900</v>
      </c>
      <c r="H21" s="58"/>
      <c r="I21" s="59"/>
      <c r="J21" s="59"/>
      <c r="K21" s="59">
        <f t="shared" ref="K21:K28" si="1">J21+G21</f>
        <v>900</v>
      </c>
      <c r="L21" s="60">
        <v>20210817</v>
      </c>
    </row>
    <row r="22" spans="1:12" x14ac:dyDescent="0.25">
      <c r="A22" s="61" t="s">
        <v>78</v>
      </c>
      <c r="B22" s="49" t="s">
        <v>11</v>
      </c>
      <c r="C22" s="49" t="s">
        <v>74</v>
      </c>
      <c r="D22" s="49" t="s">
        <v>34</v>
      </c>
      <c r="E22" s="84" t="s">
        <v>79</v>
      </c>
      <c r="F22" s="49">
        <v>1</v>
      </c>
      <c r="G22" s="50">
        <v>900</v>
      </c>
      <c r="H22" s="49"/>
      <c r="I22" s="50"/>
      <c r="J22" s="50"/>
      <c r="K22" s="50">
        <f t="shared" si="1"/>
        <v>900</v>
      </c>
      <c r="L22" s="62">
        <v>20210817</v>
      </c>
    </row>
    <row r="23" spans="1:12" x14ac:dyDescent="0.25">
      <c r="A23" s="61" t="s">
        <v>80</v>
      </c>
      <c r="B23" s="49" t="s">
        <v>11</v>
      </c>
      <c r="C23" s="49" t="s">
        <v>74</v>
      </c>
      <c r="D23" s="49" t="s">
        <v>34</v>
      </c>
      <c r="E23" s="84" t="s">
        <v>81</v>
      </c>
      <c r="F23" s="49">
        <v>1</v>
      </c>
      <c r="G23" s="50">
        <v>900</v>
      </c>
      <c r="H23" s="49"/>
      <c r="I23" s="50"/>
      <c r="J23" s="50"/>
      <c r="K23" s="50">
        <f t="shared" si="1"/>
        <v>900</v>
      </c>
      <c r="L23" s="62">
        <v>20210817</v>
      </c>
    </row>
    <row r="24" spans="1:12" x14ac:dyDescent="0.25">
      <c r="A24" s="61" t="s">
        <v>82</v>
      </c>
      <c r="B24" s="49" t="s">
        <v>11</v>
      </c>
      <c r="C24" s="49" t="s">
        <v>74</v>
      </c>
      <c r="D24" s="49" t="s">
        <v>34</v>
      </c>
      <c r="E24" s="84" t="s">
        <v>83</v>
      </c>
      <c r="F24" s="49">
        <v>1</v>
      </c>
      <c r="G24" s="50">
        <v>900</v>
      </c>
      <c r="H24" s="49"/>
      <c r="I24" s="50"/>
      <c r="J24" s="50"/>
      <c r="K24" s="50">
        <f t="shared" si="1"/>
        <v>900</v>
      </c>
      <c r="L24" s="62">
        <v>20210817</v>
      </c>
    </row>
    <row r="25" spans="1:12" x14ac:dyDescent="0.25">
      <c r="A25" s="61" t="s">
        <v>84</v>
      </c>
      <c r="B25" s="49" t="s">
        <v>11</v>
      </c>
      <c r="C25" s="49" t="s">
        <v>74</v>
      </c>
      <c r="D25" s="49" t="s">
        <v>34</v>
      </c>
      <c r="E25" s="84">
        <v>7947332</v>
      </c>
      <c r="F25" s="49">
        <v>1</v>
      </c>
      <c r="G25" s="50">
        <v>900</v>
      </c>
      <c r="H25" s="49"/>
      <c r="I25" s="50"/>
      <c r="J25" s="50"/>
      <c r="K25" s="50">
        <f t="shared" si="1"/>
        <v>900</v>
      </c>
      <c r="L25" s="62">
        <v>20210817</v>
      </c>
    </row>
    <row r="26" spans="1:12" x14ac:dyDescent="0.25">
      <c r="A26" s="61" t="s">
        <v>85</v>
      </c>
      <c r="B26" s="49" t="s">
        <v>11</v>
      </c>
      <c r="C26" s="49" t="s">
        <v>74</v>
      </c>
      <c r="D26" s="49" t="s">
        <v>34</v>
      </c>
      <c r="E26" s="84" t="s">
        <v>86</v>
      </c>
      <c r="F26" s="49">
        <v>1</v>
      </c>
      <c r="G26" s="50">
        <v>900</v>
      </c>
      <c r="H26" s="49"/>
      <c r="I26" s="50"/>
      <c r="J26" s="50"/>
      <c r="K26" s="50">
        <f t="shared" si="1"/>
        <v>900</v>
      </c>
      <c r="L26" s="62">
        <v>20210817</v>
      </c>
    </row>
    <row r="27" spans="1:12" x14ac:dyDescent="0.25">
      <c r="A27" s="61" t="s">
        <v>87</v>
      </c>
      <c r="B27" s="49" t="s">
        <v>11</v>
      </c>
      <c r="C27" s="49" t="s">
        <v>74</v>
      </c>
      <c r="D27" s="49" t="s">
        <v>34</v>
      </c>
      <c r="E27" s="84" t="s">
        <v>88</v>
      </c>
      <c r="F27" s="49">
        <v>1</v>
      </c>
      <c r="G27" s="50">
        <v>900</v>
      </c>
      <c r="H27" s="49"/>
      <c r="I27" s="50"/>
      <c r="J27" s="50"/>
      <c r="K27" s="50">
        <f t="shared" si="1"/>
        <v>900</v>
      </c>
      <c r="L27" s="62">
        <v>20210817</v>
      </c>
    </row>
    <row r="28" spans="1:12" ht="15.75" thickBot="1" x14ac:dyDescent="0.3">
      <c r="A28" s="63" t="s">
        <v>89</v>
      </c>
      <c r="B28" s="64" t="s">
        <v>11</v>
      </c>
      <c r="C28" s="64" t="s">
        <v>74</v>
      </c>
      <c r="D28" s="64" t="s">
        <v>34</v>
      </c>
      <c r="E28" s="89" t="s">
        <v>90</v>
      </c>
      <c r="F28" s="64">
        <v>1</v>
      </c>
      <c r="G28" s="65">
        <v>900</v>
      </c>
      <c r="H28" s="64"/>
      <c r="I28" s="65"/>
      <c r="J28" s="65"/>
      <c r="K28" s="65">
        <f t="shared" si="1"/>
        <v>900</v>
      </c>
      <c r="L28" s="66">
        <v>20210817</v>
      </c>
    </row>
    <row r="30" spans="1:12" ht="15.75" thickBot="1" x14ac:dyDescent="0.3">
      <c r="A30" s="97" t="s">
        <v>0</v>
      </c>
      <c r="B30" s="98" t="s">
        <v>1</v>
      </c>
      <c r="C30" s="98" t="s">
        <v>2</v>
      </c>
      <c r="D30" s="98" t="s">
        <v>3</v>
      </c>
      <c r="E30" s="99" t="s">
        <v>4</v>
      </c>
      <c r="F30" s="98"/>
      <c r="G30" s="100" t="s">
        <v>6</v>
      </c>
      <c r="H30" s="98" t="s">
        <v>7</v>
      </c>
      <c r="I30" s="100" t="s">
        <v>8</v>
      </c>
      <c r="J30" s="100" t="s">
        <v>9</v>
      </c>
      <c r="K30" s="100" t="s">
        <v>10</v>
      </c>
      <c r="L30" s="101" t="s">
        <v>5</v>
      </c>
    </row>
    <row r="31" spans="1:12" x14ac:dyDescent="0.25">
      <c r="A31" s="57" t="s">
        <v>96</v>
      </c>
      <c r="B31" s="58" t="s">
        <v>27</v>
      </c>
      <c r="C31" s="58" t="s">
        <v>29</v>
      </c>
      <c r="D31" s="58" t="s">
        <v>97</v>
      </c>
      <c r="E31" s="88" t="s">
        <v>98</v>
      </c>
      <c r="F31" s="58">
        <v>1</v>
      </c>
      <c r="G31" s="59">
        <v>2200</v>
      </c>
      <c r="H31" s="58"/>
      <c r="I31" s="59"/>
      <c r="J31" s="59"/>
      <c r="K31" s="59">
        <v>2200</v>
      </c>
      <c r="L31" s="60">
        <v>20211202</v>
      </c>
    </row>
    <row r="32" spans="1:12" x14ac:dyDescent="0.25">
      <c r="A32" s="61" t="s">
        <v>94</v>
      </c>
      <c r="B32" s="49" t="s">
        <v>12</v>
      </c>
      <c r="C32" s="49" t="s">
        <v>26</v>
      </c>
      <c r="D32" s="49" t="s">
        <v>40</v>
      </c>
      <c r="E32" s="84" t="s">
        <v>95</v>
      </c>
      <c r="F32" s="49">
        <v>1</v>
      </c>
      <c r="G32" s="50">
        <v>2200</v>
      </c>
      <c r="H32" s="49"/>
      <c r="I32" s="50"/>
      <c r="J32" s="50"/>
      <c r="K32" s="50">
        <v>2200</v>
      </c>
      <c r="L32" s="62">
        <v>20220114</v>
      </c>
    </row>
    <row r="33" spans="1:12" ht="15.75" thickBot="1" x14ac:dyDescent="0.3">
      <c r="A33" s="63" t="s">
        <v>92</v>
      </c>
      <c r="B33" s="64" t="s">
        <v>12</v>
      </c>
      <c r="C33" s="64" t="s">
        <v>26</v>
      </c>
      <c r="D33" s="64" t="s">
        <v>40</v>
      </c>
      <c r="E33" s="89" t="s">
        <v>93</v>
      </c>
      <c r="F33" s="64">
        <v>1</v>
      </c>
      <c r="G33" s="65">
        <v>2200</v>
      </c>
      <c r="H33" s="64"/>
      <c r="I33" s="65"/>
      <c r="J33" s="65"/>
      <c r="K33" s="65">
        <v>2200</v>
      </c>
      <c r="L33" s="66">
        <v>20220119</v>
      </c>
    </row>
    <row r="34" spans="1:12" x14ac:dyDescent="0.25">
      <c r="A34" s="90"/>
      <c r="B34" s="91"/>
      <c r="C34" s="91"/>
      <c r="D34" s="91"/>
      <c r="E34" s="92"/>
      <c r="F34" s="91"/>
      <c r="G34" s="93"/>
      <c r="H34" s="91"/>
      <c r="I34" s="93"/>
      <c r="J34" s="93"/>
      <c r="K34" s="93"/>
      <c r="L34" s="94"/>
    </row>
    <row r="35" spans="1:12" x14ac:dyDescent="0.25">
      <c r="A35" s="61" t="s">
        <v>91</v>
      </c>
      <c r="B35" s="49" t="s">
        <v>11</v>
      </c>
      <c r="C35" s="49" t="s">
        <v>26</v>
      </c>
      <c r="D35" s="49" t="s">
        <v>40</v>
      </c>
      <c r="E35" s="84">
        <v>7949550</v>
      </c>
      <c r="F35" s="49"/>
      <c r="G35" s="50">
        <v>900</v>
      </c>
      <c r="H35" s="49"/>
      <c r="I35" s="50"/>
      <c r="J35" s="50"/>
      <c r="K35" s="50">
        <v>900</v>
      </c>
      <c r="L35" s="62">
        <v>20220119</v>
      </c>
    </row>
    <row r="38" spans="1:12" ht="15.75" thickBot="1" x14ac:dyDescent="0.3">
      <c r="A38" s="97" t="s">
        <v>0</v>
      </c>
      <c r="B38" s="98" t="s">
        <v>1</v>
      </c>
      <c r="C38" s="98" t="s">
        <v>2</v>
      </c>
      <c r="D38" s="98" t="s">
        <v>3</v>
      </c>
      <c r="E38" s="99" t="s">
        <v>4</v>
      </c>
      <c r="F38" s="98"/>
      <c r="G38" s="100" t="s">
        <v>6</v>
      </c>
      <c r="H38" s="98" t="s">
        <v>7</v>
      </c>
      <c r="I38" s="100" t="s">
        <v>8</v>
      </c>
      <c r="J38" s="100" t="s">
        <v>9</v>
      </c>
      <c r="K38" s="100" t="s">
        <v>10</v>
      </c>
      <c r="L38" s="101" t="s">
        <v>5</v>
      </c>
    </row>
    <row r="39" spans="1:12" x14ac:dyDescent="0.25">
      <c r="A39" s="57" t="s">
        <v>105</v>
      </c>
      <c r="B39" s="58" t="s">
        <v>12</v>
      </c>
      <c r="C39" s="58" t="s">
        <v>100</v>
      </c>
      <c r="D39" s="58" t="s">
        <v>34</v>
      </c>
      <c r="E39" s="88" t="s">
        <v>101</v>
      </c>
      <c r="F39" s="58">
        <v>1</v>
      </c>
      <c r="G39" s="59">
        <v>2200</v>
      </c>
      <c r="H39" s="58"/>
      <c r="I39" s="59"/>
      <c r="J39" s="59"/>
      <c r="K39" s="59">
        <v>2200</v>
      </c>
      <c r="L39" s="60">
        <v>20220314</v>
      </c>
    </row>
    <row r="40" spans="1:12" x14ac:dyDescent="0.25">
      <c r="A40" s="61" t="s">
        <v>102</v>
      </c>
      <c r="B40" s="49" t="s">
        <v>12</v>
      </c>
      <c r="C40" s="49" t="s">
        <v>103</v>
      </c>
      <c r="D40" s="49" t="s">
        <v>34</v>
      </c>
      <c r="E40" s="84" t="s">
        <v>104</v>
      </c>
      <c r="F40" s="49">
        <v>1</v>
      </c>
      <c r="G40" s="50">
        <v>2200</v>
      </c>
      <c r="H40" s="49"/>
      <c r="I40" s="50"/>
      <c r="J40" s="50"/>
      <c r="K40" s="50">
        <v>2200</v>
      </c>
      <c r="L40" s="62">
        <v>20220323</v>
      </c>
    </row>
    <row r="41" spans="1:12" ht="15.75" thickBot="1" x14ac:dyDescent="0.3">
      <c r="A41" s="63" t="s">
        <v>99</v>
      </c>
      <c r="B41" s="64" t="s">
        <v>12</v>
      </c>
      <c r="C41" s="64" t="s">
        <v>100</v>
      </c>
      <c r="D41" s="64" t="s">
        <v>34</v>
      </c>
      <c r="E41" s="89" t="s">
        <v>101</v>
      </c>
      <c r="F41" s="64">
        <v>1</v>
      </c>
      <c r="G41" s="65">
        <v>2200</v>
      </c>
      <c r="H41" s="64"/>
      <c r="I41" s="65"/>
      <c r="J41" s="65"/>
      <c r="K41" s="65">
        <v>2200</v>
      </c>
      <c r="L41" s="66">
        <v>20220330</v>
      </c>
    </row>
    <row r="42" spans="1:12" ht="15.75" thickBot="1" x14ac:dyDescent="0.3">
      <c r="A42" s="102"/>
      <c r="B42" s="103"/>
      <c r="C42" s="103"/>
      <c r="D42" s="103"/>
      <c r="E42" s="104"/>
      <c r="F42" s="103"/>
      <c r="G42" s="105"/>
      <c r="H42" s="103"/>
      <c r="I42" s="105"/>
      <c r="J42" s="105"/>
      <c r="K42" s="105"/>
      <c r="L42" s="106"/>
    </row>
    <row r="43" spans="1:12" ht="15.75" thickBot="1" x14ac:dyDescent="0.3">
      <c r="A43" s="18" t="s">
        <v>106</v>
      </c>
      <c r="B43" s="19" t="s">
        <v>11</v>
      </c>
      <c r="C43" s="19" t="s">
        <v>26</v>
      </c>
      <c r="D43" s="19" t="s">
        <v>40</v>
      </c>
      <c r="E43" s="22" t="s">
        <v>107</v>
      </c>
      <c r="F43" s="19">
        <v>1</v>
      </c>
      <c r="G43" s="95">
        <v>900</v>
      </c>
      <c r="H43" s="19"/>
      <c r="I43" s="95"/>
      <c r="J43" s="95"/>
      <c r="K43" s="95">
        <v>900</v>
      </c>
      <c r="L43" s="96">
        <v>20220119</v>
      </c>
    </row>
    <row r="45" spans="1:12" ht="15.75" thickBot="1" x14ac:dyDescent="0.3">
      <c r="A45" s="97" t="s">
        <v>0</v>
      </c>
      <c r="B45" s="98" t="s">
        <v>1</v>
      </c>
      <c r="C45" s="98" t="s">
        <v>2</v>
      </c>
      <c r="D45" s="98" t="s">
        <v>3</v>
      </c>
      <c r="E45" s="99" t="s">
        <v>4</v>
      </c>
      <c r="F45" s="98"/>
      <c r="G45" s="100" t="s">
        <v>6</v>
      </c>
      <c r="H45" s="98" t="s">
        <v>7</v>
      </c>
      <c r="I45" s="100" t="s">
        <v>8</v>
      </c>
      <c r="J45" s="100" t="s">
        <v>9</v>
      </c>
      <c r="K45" s="100" t="s">
        <v>10</v>
      </c>
      <c r="L45" s="101" t="s">
        <v>5</v>
      </c>
    </row>
    <row r="46" spans="1:12" x14ac:dyDescent="0.25">
      <c r="A46" s="57" t="s">
        <v>110</v>
      </c>
      <c r="B46" s="58" t="s">
        <v>111</v>
      </c>
      <c r="C46" s="58" t="s">
        <v>74</v>
      </c>
      <c r="D46" s="58" t="s">
        <v>34</v>
      </c>
      <c r="E46" s="88" t="s">
        <v>79</v>
      </c>
      <c r="F46" s="58">
        <v>1</v>
      </c>
      <c r="G46" s="59">
        <v>3000</v>
      </c>
      <c r="H46" s="58"/>
      <c r="I46" s="59"/>
      <c r="J46" s="59"/>
      <c r="K46" s="59">
        <v>3000</v>
      </c>
      <c r="L46" s="60">
        <v>20220407</v>
      </c>
    </row>
    <row r="47" spans="1:12" x14ac:dyDescent="0.25">
      <c r="A47" s="61" t="s">
        <v>112</v>
      </c>
      <c r="B47" s="49" t="s">
        <v>111</v>
      </c>
      <c r="C47" s="49" t="s">
        <v>74</v>
      </c>
      <c r="D47" s="49" t="s">
        <v>34</v>
      </c>
      <c r="E47" s="84" t="s">
        <v>113</v>
      </c>
      <c r="F47" s="49">
        <v>1</v>
      </c>
      <c r="G47" s="50">
        <v>3000</v>
      </c>
      <c r="H47" s="49"/>
      <c r="I47" s="50"/>
      <c r="J47" s="50"/>
      <c r="K47" s="50">
        <v>3000</v>
      </c>
      <c r="L47" s="62">
        <v>20220407</v>
      </c>
    </row>
    <row r="48" spans="1:12" x14ac:dyDescent="0.25">
      <c r="A48" s="61" t="s">
        <v>118</v>
      </c>
      <c r="B48" s="49" t="s">
        <v>111</v>
      </c>
      <c r="C48" s="49" t="s">
        <v>74</v>
      </c>
      <c r="D48" s="49" t="s">
        <v>34</v>
      </c>
      <c r="E48" s="84" t="s">
        <v>119</v>
      </c>
      <c r="F48" s="49">
        <v>1</v>
      </c>
      <c r="G48" s="50">
        <v>3000</v>
      </c>
      <c r="H48" s="49"/>
      <c r="I48" s="50"/>
      <c r="J48" s="50"/>
      <c r="K48" s="50">
        <v>3000</v>
      </c>
      <c r="L48" s="62">
        <v>20220407</v>
      </c>
    </row>
    <row r="49" spans="1:12" x14ac:dyDescent="0.25">
      <c r="A49" s="61" t="s">
        <v>109</v>
      </c>
      <c r="B49" s="49" t="s">
        <v>12</v>
      </c>
      <c r="C49" s="49" t="s">
        <v>74</v>
      </c>
      <c r="D49" s="49" t="s">
        <v>34</v>
      </c>
      <c r="E49" s="84" t="s">
        <v>66</v>
      </c>
      <c r="F49" s="49">
        <v>1</v>
      </c>
      <c r="G49" s="50">
        <v>3000</v>
      </c>
      <c r="H49" s="49"/>
      <c r="I49" s="50"/>
      <c r="J49" s="50"/>
      <c r="K49" s="50">
        <v>3000</v>
      </c>
      <c r="L49" s="62">
        <v>20220504</v>
      </c>
    </row>
    <row r="50" spans="1:12" ht="15.75" thickBot="1" x14ac:dyDescent="0.3">
      <c r="A50" s="63" t="s">
        <v>108</v>
      </c>
      <c r="B50" s="64" t="s">
        <v>12</v>
      </c>
      <c r="C50" s="64" t="s">
        <v>28</v>
      </c>
      <c r="D50" s="64" t="s">
        <v>71</v>
      </c>
      <c r="E50" s="89" t="s">
        <v>72</v>
      </c>
      <c r="F50" s="64">
        <v>1</v>
      </c>
      <c r="G50" s="65">
        <v>3000</v>
      </c>
      <c r="H50" s="64"/>
      <c r="I50" s="65"/>
      <c r="J50" s="65"/>
      <c r="K50" s="65">
        <v>3000</v>
      </c>
      <c r="L50" s="66">
        <v>20220510</v>
      </c>
    </row>
    <row r="51" spans="1:12" ht="15.75" thickBot="1" x14ac:dyDescent="0.3">
      <c r="A51" s="102"/>
      <c r="B51" s="103"/>
      <c r="C51" s="103"/>
      <c r="D51" s="103"/>
      <c r="E51" s="104"/>
      <c r="F51" s="103"/>
      <c r="G51" s="105"/>
      <c r="H51" s="103"/>
      <c r="I51" s="105"/>
      <c r="J51" s="105"/>
      <c r="K51" s="105"/>
      <c r="L51" s="106"/>
    </row>
    <row r="52" spans="1:12" x14ac:dyDescent="0.25">
      <c r="A52" s="57" t="s">
        <v>114</v>
      </c>
      <c r="B52" s="58" t="s">
        <v>111</v>
      </c>
      <c r="C52" s="58" t="s">
        <v>74</v>
      </c>
      <c r="D52" s="58" t="s">
        <v>34</v>
      </c>
      <c r="E52" s="88" t="s">
        <v>115</v>
      </c>
      <c r="F52" s="58">
        <v>1</v>
      </c>
      <c r="G52" s="59">
        <v>1215</v>
      </c>
      <c r="H52" s="58"/>
      <c r="I52" s="59"/>
      <c r="J52" s="59"/>
      <c r="K52" s="59">
        <v>1215</v>
      </c>
      <c r="L52" s="60">
        <v>20220407</v>
      </c>
    </row>
    <row r="53" spans="1:12" ht="15.75" thickBot="1" x14ac:dyDescent="0.3">
      <c r="A53" s="63" t="s">
        <v>116</v>
      </c>
      <c r="B53" s="64" t="s">
        <v>111</v>
      </c>
      <c r="C53" s="64" t="s">
        <v>74</v>
      </c>
      <c r="D53" s="64" t="s">
        <v>34</v>
      </c>
      <c r="E53" s="89" t="s">
        <v>117</v>
      </c>
      <c r="F53" s="64">
        <v>1</v>
      </c>
      <c r="G53" s="65">
        <v>1215</v>
      </c>
      <c r="H53" s="64"/>
      <c r="I53" s="65"/>
      <c r="J53" s="65"/>
      <c r="K53" s="65">
        <v>1215</v>
      </c>
      <c r="L53" s="66">
        <v>20220407</v>
      </c>
    </row>
    <row r="56" spans="1:12" ht="15.75" thickBot="1" x14ac:dyDescent="0.3">
      <c r="A56" s="97" t="s">
        <v>0</v>
      </c>
      <c r="B56" s="98" t="s">
        <v>1</v>
      </c>
      <c r="C56" s="98" t="s">
        <v>2</v>
      </c>
      <c r="D56" s="98" t="s">
        <v>3</v>
      </c>
      <c r="E56" s="99" t="s">
        <v>4</v>
      </c>
      <c r="F56" s="98"/>
      <c r="G56" s="100" t="s">
        <v>6</v>
      </c>
      <c r="H56" s="98" t="s">
        <v>7</v>
      </c>
      <c r="I56" s="100" t="s">
        <v>8</v>
      </c>
      <c r="J56" s="100" t="s">
        <v>9</v>
      </c>
      <c r="K56" s="100" t="s">
        <v>10</v>
      </c>
      <c r="L56" s="101" t="s">
        <v>5</v>
      </c>
    </row>
    <row r="57" spans="1:12" x14ac:dyDescent="0.25">
      <c r="A57" s="57" t="s">
        <v>128</v>
      </c>
      <c r="B57" s="58" t="s">
        <v>12</v>
      </c>
      <c r="C57" s="58" t="s">
        <v>26</v>
      </c>
      <c r="D57" s="58" t="s">
        <v>40</v>
      </c>
      <c r="E57" s="88">
        <v>7949550</v>
      </c>
      <c r="F57" s="58">
        <v>1</v>
      </c>
      <c r="G57" s="59">
        <v>3000</v>
      </c>
      <c r="H57" s="58"/>
      <c r="I57" s="59"/>
      <c r="J57" s="59"/>
      <c r="K57" s="59">
        <v>3000</v>
      </c>
      <c r="L57" s="60">
        <v>20220614</v>
      </c>
    </row>
    <row r="58" spans="1:12" x14ac:dyDescent="0.25">
      <c r="A58" s="61" t="s">
        <v>127</v>
      </c>
      <c r="B58" s="49" t="s">
        <v>12</v>
      </c>
      <c r="C58" s="49" t="s">
        <v>26</v>
      </c>
      <c r="D58" s="49" t="s">
        <v>40</v>
      </c>
      <c r="E58" s="84" t="s">
        <v>93</v>
      </c>
      <c r="F58" s="49">
        <v>1</v>
      </c>
      <c r="G58" s="50">
        <v>3000</v>
      </c>
      <c r="H58" s="49"/>
      <c r="I58" s="50"/>
      <c r="J58" s="50"/>
      <c r="K58" s="50">
        <v>3000</v>
      </c>
      <c r="L58" s="62">
        <v>20220701</v>
      </c>
    </row>
    <row r="59" spans="1:12" x14ac:dyDescent="0.25">
      <c r="A59" s="61" t="s">
        <v>120</v>
      </c>
      <c r="B59" s="49" t="s">
        <v>12</v>
      </c>
      <c r="C59" s="49" t="s">
        <v>28</v>
      </c>
      <c r="D59" s="49" t="s">
        <v>71</v>
      </c>
      <c r="E59" s="84" t="s">
        <v>72</v>
      </c>
      <c r="F59" s="49">
        <v>1</v>
      </c>
      <c r="G59" s="50">
        <v>3000</v>
      </c>
      <c r="H59" s="49"/>
      <c r="I59" s="50"/>
      <c r="J59" s="50"/>
      <c r="K59" s="50">
        <v>3000</v>
      </c>
      <c r="L59" s="62">
        <v>20220727</v>
      </c>
    </row>
    <row r="60" spans="1:12" x14ac:dyDescent="0.25">
      <c r="A60" s="61" t="s">
        <v>121</v>
      </c>
      <c r="B60" s="49" t="s">
        <v>111</v>
      </c>
      <c r="C60" s="49" t="s">
        <v>122</v>
      </c>
      <c r="D60" s="49" t="s">
        <v>123</v>
      </c>
      <c r="E60" s="84" t="s">
        <v>124</v>
      </c>
      <c r="F60" s="49">
        <v>1</v>
      </c>
      <c r="G60" s="50">
        <v>3000</v>
      </c>
      <c r="H60" s="49"/>
      <c r="I60" s="50"/>
      <c r="J60" s="50"/>
      <c r="K60" s="50">
        <v>3000</v>
      </c>
      <c r="L60" s="62">
        <v>20220727</v>
      </c>
    </row>
    <row r="61" spans="1:12" ht="15.75" thickBot="1" x14ac:dyDescent="0.3">
      <c r="A61" s="63" t="s">
        <v>125</v>
      </c>
      <c r="B61" s="64" t="s">
        <v>111</v>
      </c>
      <c r="C61" s="64" t="s">
        <v>122</v>
      </c>
      <c r="D61" s="64" t="s">
        <v>123</v>
      </c>
      <c r="E61" s="89" t="s">
        <v>126</v>
      </c>
      <c r="F61" s="64">
        <v>1</v>
      </c>
      <c r="G61" s="65">
        <v>3000</v>
      </c>
      <c r="H61" s="64"/>
      <c r="I61" s="65"/>
      <c r="J61" s="65"/>
      <c r="K61" s="65">
        <v>3000</v>
      </c>
      <c r="L61" s="66">
        <v>20220727</v>
      </c>
    </row>
    <row r="62" spans="1:12" x14ac:dyDescent="0.25">
      <c r="A62" s="90"/>
      <c r="B62" s="91"/>
      <c r="C62" s="91"/>
      <c r="D62" s="91"/>
      <c r="E62" s="92"/>
      <c r="F62" s="91"/>
      <c r="G62" s="93"/>
      <c r="H62" s="91"/>
      <c r="I62" s="93"/>
      <c r="J62" s="93"/>
      <c r="K62" s="93"/>
      <c r="L62" s="94"/>
    </row>
    <row r="64" spans="1:12" ht="15.75" thickBot="1" x14ac:dyDescent="0.3">
      <c r="A64" s="97" t="s">
        <v>0</v>
      </c>
      <c r="B64" s="98" t="s">
        <v>1</v>
      </c>
      <c r="C64" s="98" t="s">
        <v>2</v>
      </c>
      <c r="D64" s="98" t="s">
        <v>3</v>
      </c>
      <c r="E64" s="99" t="s">
        <v>4</v>
      </c>
      <c r="F64" s="98"/>
      <c r="G64" s="100" t="s">
        <v>6</v>
      </c>
      <c r="H64" s="98" t="s">
        <v>7</v>
      </c>
      <c r="I64" s="100" t="s">
        <v>8</v>
      </c>
      <c r="J64" s="100" t="s">
        <v>9</v>
      </c>
      <c r="K64" s="100" t="s">
        <v>10</v>
      </c>
      <c r="L64" s="101" t="s">
        <v>5</v>
      </c>
    </row>
    <row r="65" spans="1:12" x14ac:dyDescent="0.25">
      <c r="A65" s="57" t="s">
        <v>158</v>
      </c>
      <c r="B65" s="58" t="s">
        <v>12</v>
      </c>
      <c r="C65" s="58" t="s">
        <v>100</v>
      </c>
      <c r="D65" s="58" t="s">
        <v>34</v>
      </c>
      <c r="E65" s="88" t="s">
        <v>101</v>
      </c>
      <c r="F65" s="58">
        <v>1</v>
      </c>
      <c r="G65" s="59">
        <v>3000</v>
      </c>
      <c r="H65" s="58"/>
      <c r="I65" s="59"/>
      <c r="J65" s="59"/>
      <c r="K65" s="59">
        <v>3000</v>
      </c>
      <c r="L65" s="60">
        <v>20220802</v>
      </c>
    </row>
    <row r="66" spans="1:12" x14ac:dyDescent="0.25">
      <c r="A66" s="61" t="s">
        <v>156</v>
      </c>
      <c r="B66" s="49" t="s">
        <v>12</v>
      </c>
      <c r="C66" s="49" t="s">
        <v>26</v>
      </c>
      <c r="D66" s="49" t="s">
        <v>40</v>
      </c>
      <c r="E66" s="84" t="s">
        <v>157</v>
      </c>
      <c r="F66" s="49">
        <v>1</v>
      </c>
      <c r="G66" s="50">
        <v>3000</v>
      </c>
      <c r="H66" s="49"/>
      <c r="I66" s="50"/>
      <c r="J66" s="50"/>
      <c r="K66" s="50">
        <v>3000</v>
      </c>
      <c r="L66" s="62">
        <v>20220805</v>
      </c>
    </row>
    <row r="67" spans="1:12" ht="15.75" thickBot="1" x14ac:dyDescent="0.3">
      <c r="A67" s="63" t="s">
        <v>145</v>
      </c>
      <c r="B67" s="64" t="s">
        <v>12</v>
      </c>
      <c r="C67" s="64" t="s">
        <v>26</v>
      </c>
      <c r="D67" s="64" t="s">
        <v>40</v>
      </c>
      <c r="E67" s="89" t="s">
        <v>107</v>
      </c>
      <c r="F67" s="64">
        <v>1</v>
      </c>
      <c r="G67" s="65">
        <v>3000</v>
      </c>
      <c r="H67" s="64"/>
      <c r="I67" s="65"/>
      <c r="J67" s="65"/>
      <c r="K67" s="65">
        <v>3000</v>
      </c>
      <c r="L67" s="66">
        <v>20220811</v>
      </c>
    </row>
    <row r="68" spans="1:12" ht="15.75" thickBot="1" x14ac:dyDescent="0.3">
      <c r="A68" s="102"/>
      <c r="B68" s="103"/>
      <c r="C68" s="103"/>
      <c r="D68" s="103"/>
      <c r="E68" s="104"/>
      <c r="F68" s="103"/>
      <c r="G68" s="105"/>
      <c r="H68" s="103"/>
      <c r="I68" s="105"/>
      <c r="J68" s="105"/>
      <c r="K68" s="105"/>
      <c r="L68" s="106"/>
    </row>
    <row r="69" spans="1:12" x14ac:dyDescent="0.25">
      <c r="A69" s="57" t="s">
        <v>146</v>
      </c>
      <c r="B69" s="58" t="s">
        <v>11</v>
      </c>
      <c r="C69" s="58" t="s">
        <v>74</v>
      </c>
      <c r="D69" s="58" t="s">
        <v>34</v>
      </c>
      <c r="E69" s="88" t="s">
        <v>48</v>
      </c>
      <c r="F69" s="58">
        <v>1</v>
      </c>
      <c r="G69" s="59">
        <v>1215</v>
      </c>
      <c r="H69" s="58"/>
      <c r="I69" s="59"/>
      <c r="J69" s="59"/>
      <c r="K69" s="59">
        <v>1215</v>
      </c>
      <c r="L69" s="60">
        <v>20220822</v>
      </c>
    </row>
    <row r="70" spans="1:12" x14ac:dyDescent="0.25">
      <c r="A70" s="61" t="s">
        <v>147</v>
      </c>
      <c r="B70" s="49" t="s">
        <v>11</v>
      </c>
      <c r="C70" s="49" t="s">
        <v>74</v>
      </c>
      <c r="D70" s="49" t="s">
        <v>34</v>
      </c>
      <c r="E70" s="84" t="s">
        <v>50</v>
      </c>
      <c r="F70" s="49">
        <v>1</v>
      </c>
      <c r="G70" s="50">
        <v>1215</v>
      </c>
      <c r="H70" s="49"/>
      <c r="I70" s="50"/>
      <c r="J70" s="50"/>
      <c r="K70" s="50">
        <v>1215</v>
      </c>
      <c r="L70" s="62">
        <v>20220822</v>
      </c>
    </row>
    <row r="71" spans="1:12" x14ac:dyDescent="0.25">
      <c r="A71" s="61" t="s">
        <v>148</v>
      </c>
      <c r="B71" s="49" t="s">
        <v>11</v>
      </c>
      <c r="C71" s="49" t="s">
        <v>74</v>
      </c>
      <c r="D71" s="49" t="s">
        <v>34</v>
      </c>
      <c r="E71" s="84" t="s">
        <v>66</v>
      </c>
      <c r="F71" s="49">
        <v>1</v>
      </c>
      <c r="G71" s="50">
        <v>1215</v>
      </c>
      <c r="H71" s="49"/>
      <c r="I71" s="50"/>
      <c r="J71" s="50"/>
      <c r="K71" s="50">
        <v>1215</v>
      </c>
      <c r="L71" s="62">
        <v>20220822</v>
      </c>
    </row>
    <row r="72" spans="1:12" x14ac:dyDescent="0.25">
      <c r="A72" s="61" t="s">
        <v>149</v>
      </c>
      <c r="B72" s="49" t="s">
        <v>11</v>
      </c>
      <c r="C72" s="49" t="s">
        <v>74</v>
      </c>
      <c r="D72" s="49" t="s">
        <v>34</v>
      </c>
      <c r="E72" s="84" t="s">
        <v>54</v>
      </c>
      <c r="F72" s="49">
        <v>1</v>
      </c>
      <c r="G72" s="50">
        <v>1215</v>
      </c>
      <c r="H72" s="49"/>
      <c r="I72" s="50"/>
      <c r="J72" s="50"/>
      <c r="K72" s="50">
        <v>1215</v>
      </c>
      <c r="L72" s="62">
        <v>20220822</v>
      </c>
    </row>
    <row r="73" spans="1:12" x14ac:dyDescent="0.25">
      <c r="A73" s="61" t="s">
        <v>150</v>
      </c>
      <c r="B73" s="49" t="s">
        <v>11</v>
      </c>
      <c r="C73" s="49" t="s">
        <v>74</v>
      </c>
      <c r="D73" s="49" t="s">
        <v>34</v>
      </c>
      <c r="E73" s="84" t="s">
        <v>64</v>
      </c>
      <c r="F73" s="49">
        <v>1</v>
      </c>
      <c r="G73" s="50">
        <v>1215</v>
      </c>
      <c r="H73" s="49"/>
      <c r="I73" s="50"/>
      <c r="J73" s="50"/>
      <c r="K73" s="50">
        <v>1215</v>
      </c>
      <c r="L73" s="62">
        <v>20220822</v>
      </c>
    </row>
    <row r="74" spans="1:12" x14ac:dyDescent="0.25">
      <c r="A74" s="61" t="s">
        <v>151</v>
      </c>
      <c r="B74" s="49" t="s">
        <v>11</v>
      </c>
      <c r="C74" s="49" t="s">
        <v>74</v>
      </c>
      <c r="D74" s="49" t="s">
        <v>34</v>
      </c>
      <c r="E74" s="84" t="s">
        <v>62</v>
      </c>
      <c r="F74" s="49">
        <v>1</v>
      </c>
      <c r="G74" s="50">
        <v>1215</v>
      </c>
      <c r="H74" s="49"/>
      <c r="I74" s="50"/>
      <c r="J74" s="50"/>
      <c r="K74" s="50">
        <v>1215</v>
      </c>
      <c r="L74" s="62">
        <v>20220822</v>
      </c>
    </row>
    <row r="75" spans="1:12" x14ac:dyDescent="0.25">
      <c r="A75" s="61" t="s">
        <v>152</v>
      </c>
      <c r="B75" s="49" t="s">
        <v>11</v>
      </c>
      <c r="C75" s="49" t="s">
        <v>74</v>
      </c>
      <c r="D75" s="49" t="s">
        <v>34</v>
      </c>
      <c r="E75" s="84" t="s">
        <v>56</v>
      </c>
      <c r="F75" s="49">
        <v>1</v>
      </c>
      <c r="G75" s="50">
        <v>1215</v>
      </c>
      <c r="H75" s="49"/>
      <c r="I75" s="50"/>
      <c r="J75" s="50"/>
      <c r="K75" s="50">
        <v>1215</v>
      </c>
      <c r="L75" s="62">
        <v>20220822</v>
      </c>
    </row>
    <row r="76" spans="1:12" x14ac:dyDescent="0.25">
      <c r="A76" s="61" t="s">
        <v>153</v>
      </c>
      <c r="B76" s="49" t="s">
        <v>11</v>
      </c>
      <c r="C76" s="49" t="s">
        <v>74</v>
      </c>
      <c r="D76" s="49" t="s">
        <v>34</v>
      </c>
      <c r="E76" s="84" t="s">
        <v>58</v>
      </c>
      <c r="F76" s="49">
        <v>1</v>
      </c>
      <c r="G76" s="50">
        <v>1215</v>
      </c>
      <c r="H76" s="49"/>
      <c r="I76" s="50"/>
      <c r="J76" s="50"/>
      <c r="K76" s="50">
        <v>1215</v>
      </c>
      <c r="L76" s="62">
        <v>20220822</v>
      </c>
    </row>
    <row r="77" spans="1:12" x14ac:dyDescent="0.25">
      <c r="A77" s="61" t="s">
        <v>154</v>
      </c>
      <c r="B77" s="49" t="s">
        <v>11</v>
      </c>
      <c r="C77" s="49" t="s">
        <v>74</v>
      </c>
      <c r="D77" s="49" t="s">
        <v>34</v>
      </c>
      <c r="E77" s="84" t="s">
        <v>52</v>
      </c>
      <c r="F77" s="49">
        <v>1</v>
      </c>
      <c r="G77" s="50">
        <v>1215</v>
      </c>
      <c r="H77" s="49"/>
      <c r="I77" s="50"/>
      <c r="J77" s="50"/>
      <c r="K77" s="50">
        <v>1215</v>
      </c>
      <c r="L77" s="62">
        <v>20220822</v>
      </c>
    </row>
    <row r="78" spans="1:12" x14ac:dyDescent="0.25">
      <c r="A78" s="61" t="s">
        <v>155</v>
      </c>
      <c r="B78" s="49" t="s">
        <v>11</v>
      </c>
      <c r="C78" s="49" t="s">
        <v>74</v>
      </c>
      <c r="D78" s="49" t="s">
        <v>34</v>
      </c>
      <c r="E78" s="84" t="s">
        <v>60</v>
      </c>
      <c r="F78" s="49">
        <v>1</v>
      </c>
      <c r="G78" s="50">
        <v>1215</v>
      </c>
      <c r="H78" s="49"/>
      <c r="I78" s="50"/>
      <c r="J78" s="50"/>
      <c r="K78" s="50">
        <v>1215</v>
      </c>
      <c r="L78" s="62">
        <v>20220822</v>
      </c>
    </row>
    <row r="79" spans="1:12" x14ac:dyDescent="0.25">
      <c r="A79" s="61" t="s">
        <v>129</v>
      </c>
      <c r="B79" s="49" t="s">
        <v>11</v>
      </c>
      <c r="C79" s="49" t="s">
        <v>130</v>
      </c>
      <c r="D79" s="49" t="s">
        <v>131</v>
      </c>
      <c r="E79" s="84" t="s">
        <v>132</v>
      </c>
      <c r="F79" s="49">
        <v>1</v>
      </c>
      <c r="G79" s="50">
        <v>1215</v>
      </c>
      <c r="H79" s="49"/>
      <c r="I79" s="50"/>
      <c r="J79" s="50"/>
      <c r="K79" s="50">
        <v>1215</v>
      </c>
      <c r="L79" s="62">
        <v>20220831</v>
      </c>
    </row>
    <row r="80" spans="1:12" ht="15.75" thickBot="1" x14ac:dyDescent="0.3">
      <c r="A80" s="63" t="s">
        <v>133</v>
      </c>
      <c r="B80" s="64" t="s">
        <v>11</v>
      </c>
      <c r="C80" s="64" t="s">
        <v>130</v>
      </c>
      <c r="D80" s="64" t="s">
        <v>131</v>
      </c>
      <c r="E80" s="89" t="s">
        <v>134</v>
      </c>
      <c r="F80" s="64">
        <v>1</v>
      </c>
      <c r="G80" s="65">
        <v>1215</v>
      </c>
      <c r="H80" s="64"/>
      <c r="I80" s="65"/>
      <c r="J80" s="65"/>
      <c r="K80" s="65">
        <v>1215</v>
      </c>
      <c r="L80" s="66">
        <v>20220831</v>
      </c>
    </row>
    <row r="81" spans="1:12" x14ac:dyDescent="0.25">
      <c r="A81" s="90"/>
      <c r="B81" s="91"/>
      <c r="C81" s="91"/>
      <c r="D81" s="91"/>
      <c r="E81" s="92"/>
      <c r="F81" s="91"/>
      <c r="G81" s="93"/>
      <c r="H81" s="91"/>
      <c r="I81" s="93"/>
      <c r="J81" s="93"/>
      <c r="K81" s="93"/>
      <c r="L81" s="94"/>
    </row>
    <row r="82" spans="1:12" x14ac:dyDescent="0.25">
      <c r="A82" s="61" t="s">
        <v>135</v>
      </c>
      <c r="B82" s="49" t="s">
        <v>11</v>
      </c>
      <c r="C82" s="49" t="s">
        <v>136</v>
      </c>
      <c r="D82" s="49" t="s">
        <v>137</v>
      </c>
      <c r="E82" s="84" t="s">
        <v>138</v>
      </c>
      <c r="F82" s="49">
        <v>1</v>
      </c>
      <c r="G82" s="50">
        <v>1215</v>
      </c>
      <c r="H82" s="49"/>
      <c r="I82" s="50"/>
      <c r="J82" s="50"/>
      <c r="K82" s="50">
        <v>1215</v>
      </c>
      <c r="L82" s="62">
        <v>20220901</v>
      </c>
    </row>
    <row r="83" spans="1:12" x14ac:dyDescent="0.25">
      <c r="A83" s="61" t="s">
        <v>139</v>
      </c>
      <c r="B83" s="49" t="s">
        <v>11</v>
      </c>
      <c r="C83" s="49" t="s">
        <v>136</v>
      </c>
      <c r="D83" s="49" t="s">
        <v>137</v>
      </c>
      <c r="E83" s="84" t="s">
        <v>140</v>
      </c>
      <c r="F83" s="49">
        <v>1</v>
      </c>
      <c r="G83" s="50">
        <v>1215</v>
      </c>
      <c r="H83" s="49"/>
      <c r="I83" s="50"/>
      <c r="J83" s="50"/>
      <c r="K83" s="50">
        <v>1215</v>
      </c>
      <c r="L83" s="62">
        <v>20220901</v>
      </c>
    </row>
    <row r="84" spans="1:12" x14ac:dyDescent="0.25">
      <c r="A84" s="61" t="s">
        <v>141</v>
      </c>
      <c r="B84" s="49" t="s">
        <v>11</v>
      </c>
      <c r="C84" s="49" t="s">
        <v>136</v>
      </c>
      <c r="D84" s="49" t="s">
        <v>137</v>
      </c>
      <c r="E84" s="84" t="s">
        <v>142</v>
      </c>
      <c r="F84" s="49">
        <v>1</v>
      </c>
      <c r="G84" s="50">
        <v>1215</v>
      </c>
      <c r="H84" s="49"/>
      <c r="I84" s="50"/>
      <c r="J84" s="50"/>
      <c r="K84" s="50">
        <v>1215</v>
      </c>
      <c r="L84" s="62">
        <v>20220901</v>
      </c>
    </row>
    <row r="85" spans="1:12" x14ac:dyDescent="0.25">
      <c r="A85" s="61" t="s">
        <v>143</v>
      </c>
      <c r="B85" s="49" t="s">
        <v>11</v>
      </c>
      <c r="C85" s="49" t="s">
        <v>136</v>
      </c>
      <c r="D85" s="49" t="s">
        <v>137</v>
      </c>
      <c r="E85" s="84" t="s">
        <v>144</v>
      </c>
      <c r="F85" s="49">
        <v>1</v>
      </c>
      <c r="G85" s="50">
        <v>1215</v>
      </c>
      <c r="H85" s="49"/>
      <c r="I85" s="50"/>
      <c r="J85" s="50"/>
      <c r="K85" s="50">
        <v>1215</v>
      </c>
      <c r="L85" s="62">
        <v>20220901</v>
      </c>
    </row>
    <row r="87" spans="1:12" ht="15.75" thickBot="1" x14ac:dyDescent="0.3">
      <c r="A87" s="97" t="s">
        <v>0</v>
      </c>
      <c r="B87" s="98" t="s">
        <v>1</v>
      </c>
      <c r="C87" s="98" t="s">
        <v>2</v>
      </c>
      <c r="D87" s="98" t="s">
        <v>3</v>
      </c>
      <c r="E87" s="99" t="s">
        <v>4</v>
      </c>
      <c r="F87" s="98"/>
      <c r="G87" s="100" t="s">
        <v>6</v>
      </c>
      <c r="H87" s="98" t="s">
        <v>7</v>
      </c>
      <c r="I87" s="100" t="s">
        <v>8</v>
      </c>
      <c r="J87" s="100" t="s">
        <v>9</v>
      </c>
      <c r="K87" s="100" t="s">
        <v>10</v>
      </c>
      <c r="L87" s="101" t="s">
        <v>5</v>
      </c>
    </row>
    <row r="88" spans="1:12" x14ac:dyDescent="0.25">
      <c r="A88" s="57" t="s">
        <v>165</v>
      </c>
      <c r="B88" s="58" t="s">
        <v>12</v>
      </c>
      <c r="C88" s="58" t="s">
        <v>166</v>
      </c>
      <c r="D88" s="58" t="s">
        <v>167</v>
      </c>
      <c r="E88" s="88" t="s">
        <v>168</v>
      </c>
      <c r="F88" s="58">
        <v>1</v>
      </c>
      <c r="G88" s="59">
        <v>3000</v>
      </c>
      <c r="H88" s="58"/>
      <c r="I88" s="59"/>
      <c r="J88" s="59"/>
      <c r="K88" s="59">
        <v>1700</v>
      </c>
      <c r="L88" s="60">
        <v>20220613</v>
      </c>
    </row>
    <row r="89" spans="1:12" x14ac:dyDescent="0.25">
      <c r="A89" s="61" t="s">
        <v>159</v>
      </c>
      <c r="B89" s="49" t="s">
        <v>111</v>
      </c>
      <c r="C89" s="49" t="s">
        <v>33</v>
      </c>
      <c r="D89" s="49" t="s">
        <v>34</v>
      </c>
      <c r="E89" s="84" t="s">
        <v>160</v>
      </c>
      <c r="F89" s="49">
        <v>1</v>
      </c>
      <c r="G89" s="50">
        <v>3000</v>
      </c>
      <c r="H89" s="49"/>
      <c r="I89" s="50"/>
      <c r="J89" s="50"/>
      <c r="K89" s="50">
        <v>3000</v>
      </c>
      <c r="L89" s="62">
        <v>20220929</v>
      </c>
    </row>
    <row r="90" spans="1:12" x14ac:dyDescent="0.25">
      <c r="A90" s="61" t="s">
        <v>161</v>
      </c>
      <c r="B90" s="49" t="s">
        <v>111</v>
      </c>
      <c r="C90" s="49" t="s">
        <v>33</v>
      </c>
      <c r="D90" s="49" t="s">
        <v>34</v>
      </c>
      <c r="E90" s="84" t="s">
        <v>162</v>
      </c>
      <c r="F90" s="49">
        <v>1</v>
      </c>
      <c r="G90" s="50">
        <v>3000</v>
      </c>
      <c r="H90" s="49"/>
      <c r="I90" s="50"/>
      <c r="J90" s="50"/>
      <c r="K90" s="50">
        <v>3000</v>
      </c>
      <c r="L90" s="62">
        <v>20220929</v>
      </c>
    </row>
    <row r="91" spans="1:12" ht="15.75" thickBot="1" x14ac:dyDescent="0.3">
      <c r="A91" s="63" t="s">
        <v>163</v>
      </c>
      <c r="B91" s="64" t="s">
        <v>111</v>
      </c>
      <c r="C91" s="64" t="s">
        <v>33</v>
      </c>
      <c r="D91" s="64" t="s">
        <v>34</v>
      </c>
      <c r="E91" s="89" t="s">
        <v>164</v>
      </c>
      <c r="F91" s="64">
        <v>1</v>
      </c>
      <c r="G91" s="65">
        <v>3000</v>
      </c>
      <c r="H91" s="64"/>
      <c r="I91" s="65"/>
      <c r="J91" s="65"/>
      <c r="K91" s="65">
        <v>3000</v>
      </c>
      <c r="L91" s="66">
        <v>20220929</v>
      </c>
    </row>
    <row r="92" spans="1:12" x14ac:dyDescent="0.25">
      <c r="A92" s="90"/>
      <c r="B92" s="91"/>
      <c r="C92" s="91"/>
      <c r="D92" s="91"/>
      <c r="E92" s="92"/>
      <c r="F92" s="91"/>
      <c r="G92" s="93"/>
      <c r="H92" s="91"/>
      <c r="I92" s="93"/>
      <c r="J92" s="93"/>
      <c r="K92" s="93"/>
      <c r="L92" s="94"/>
    </row>
    <row r="93" spans="1:12" ht="15.75" thickBot="1" x14ac:dyDescent="0.3">
      <c r="A93" s="97"/>
      <c r="B93" s="98"/>
      <c r="C93" s="98"/>
      <c r="D93" s="98"/>
      <c r="E93" s="99"/>
      <c r="F93" s="98"/>
      <c r="G93" s="100"/>
      <c r="H93" s="98"/>
      <c r="I93" s="100"/>
      <c r="J93" s="100"/>
      <c r="K93" s="100"/>
      <c r="L93" s="101"/>
    </row>
    <row r="94" spans="1:12" x14ac:dyDescent="0.25">
      <c r="A94" s="57" t="s">
        <v>135</v>
      </c>
      <c r="B94" s="58" t="s">
        <v>11</v>
      </c>
      <c r="C94" s="58" t="s">
        <v>136</v>
      </c>
      <c r="D94" s="58" t="s">
        <v>137</v>
      </c>
      <c r="E94" s="88" t="s">
        <v>138</v>
      </c>
      <c r="F94" s="58">
        <v>1</v>
      </c>
      <c r="G94" s="59">
        <v>1215</v>
      </c>
      <c r="H94" s="58"/>
      <c r="I94" s="59"/>
      <c r="J94" s="59"/>
      <c r="K94" s="59">
        <v>1215</v>
      </c>
      <c r="L94" s="60">
        <v>20220901</v>
      </c>
    </row>
    <row r="95" spans="1:12" x14ac:dyDescent="0.25">
      <c r="A95" s="61" t="s">
        <v>139</v>
      </c>
      <c r="B95" s="49" t="s">
        <v>11</v>
      </c>
      <c r="C95" s="49" t="s">
        <v>136</v>
      </c>
      <c r="D95" s="49" t="s">
        <v>137</v>
      </c>
      <c r="E95" s="84" t="s">
        <v>140</v>
      </c>
      <c r="F95" s="49">
        <v>1</v>
      </c>
      <c r="G95" s="50">
        <v>1215</v>
      </c>
      <c r="H95" s="49"/>
      <c r="I95" s="50"/>
      <c r="J95" s="50"/>
      <c r="K95" s="50">
        <v>1215</v>
      </c>
      <c r="L95" s="62">
        <v>20220901</v>
      </c>
    </row>
    <row r="96" spans="1:12" x14ac:dyDescent="0.25">
      <c r="A96" s="61" t="s">
        <v>141</v>
      </c>
      <c r="B96" s="49" t="s">
        <v>11</v>
      </c>
      <c r="C96" s="49" t="s">
        <v>136</v>
      </c>
      <c r="D96" s="49" t="s">
        <v>137</v>
      </c>
      <c r="E96" s="84" t="s">
        <v>142</v>
      </c>
      <c r="F96" s="49">
        <v>1</v>
      </c>
      <c r="G96" s="50">
        <v>1215</v>
      </c>
      <c r="H96" s="49"/>
      <c r="I96" s="50"/>
      <c r="J96" s="50"/>
      <c r="K96" s="50">
        <v>1215</v>
      </c>
      <c r="L96" s="62">
        <v>20220901</v>
      </c>
    </row>
    <row r="97" spans="1:12" ht="15.75" thickBot="1" x14ac:dyDescent="0.3">
      <c r="A97" s="63" t="s">
        <v>143</v>
      </c>
      <c r="B97" s="64" t="s">
        <v>11</v>
      </c>
      <c r="C97" s="64" t="s">
        <v>136</v>
      </c>
      <c r="D97" s="64" t="s">
        <v>137</v>
      </c>
      <c r="E97" s="89" t="s">
        <v>144</v>
      </c>
      <c r="F97" s="64">
        <v>1</v>
      </c>
      <c r="G97" s="65">
        <v>1215</v>
      </c>
      <c r="H97" s="64"/>
      <c r="I97" s="65"/>
      <c r="J97" s="65"/>
      <c r="K97" s="65">
        <v>1215</v>
      </c>
      <c r="L97" s="66">
        <v>20220901</v>
      </c>
    </row>
    <row r="100" spans="1:12" ht="15.75" thickBot="1" x14ac:dyDescent="0.3">
      <c r="A100" s="97" t="s">
        <v>0</v>
      </c>
      <c r="B100" s="98" t="s">
        <v>1</v>
      </c>
      <c r="C100" s="98" t="s">
        <v>2</v>
      </c>
      <c r="D100" s="98" t="s">
        <v>3</v>
      </c>
      <c r="E100" s="99" t="s">
        <v>4</v>
      </c>
      <c r="F100" s="98"/>
      <c r="G100" s="100" t="s">
        <v>6</v>
      </c>
      <c r="H100" s="98" t="s">
        <v>7</v>
      </c>
      <c r="I100" s="100" t="s">
        <v>8</v>
      </c>
      <c r="J100" s="100" t="s">
        <v>9</v>
      </c>
      <c r="K100" s="100" t="s">
        <v>10</v>
      </c>
      <c r="L100" s="101" t="s">
        <v>5</v>
      </c>
    </row>
    <row r="101" spans="1:12" s="107" customFormat="1" ht="15.75" thickBot="1" x14ac:dyDescent="0.3">
      <c r="A101" s="18" t="s">
        <v>169</v>
      </c>
      <c r="B101" s="19" t="s">
        <v>12</v>
      </c>
      <c r="C101" s="19" t="s">
        <v>33</v>
      </c>
      <c r="D101" s="19" t="s">
        <v>34</v>
      </c>
      <c r="E101" s="22" t="s">
        <v>164</v>
      </c>
      <c r="F101" s="19"/>
      <c r="G101" s="95">
        <v>3000</v>
      </c>
      <c r="H101" s="19"/>
      <c r="I101" s="95"/>
      <c r="J101" s="95"/>
      <c r="K101" s="95">
        <v>3000</v>
      </c>
      <c r="L101" s="96">
        <v>20221018</v>
      </c>
    </row>
    <row r="105" spans="1:12" ht="15.75" thickBot="1" x14ac:dyDescent="0.3">
      <c r="A105" s="97" t="s">
        <v>0</v>
      </c>
      <c r="B105" s="98" t="s">
        <v>1</v>
      </c>
      <c r="C105" s="98" t="s">
        <v>2</v>
      </c>
      <c r="D105" s="98" t="s">
        <v>3</v>
      </c>
      <c r="E105" s="99" t="s">
        <v>4</v>
      </c>
      <c r="F105" s="98"/>
      <c r="G105" s="100" t="s">
        <v>6</v>
      </c>
      <c r="H105" s="98" t="s">
        <v>7</v>
      </c>
      <c r="I105" s="100" t="s">
        <v>8</v>
      </c>
      <c r="J105" s="100" t="s">
        <v>9</v>
      </c>
      <c r="K105" s="100" t="s">
        <v>10</v>
      </c>
      <c r="L105" s="101" t="s">
        <v>5</v>
      </c>
    </row>
    <row r="106" spans="1:12" x14ac:dyDescent="0.25">
      <c r="A106" s="57" t="s">
        <v>178</v>
      </c>
      <c r="B106" s="58" t="s">
        <v>12</v>
      </c>
      <c r="C106" s="58" t="s">
        <v>74</v>
      </c>
      <c r="D106" s="58" t="s">
        <v>34</v>
      </c>
      <c r="E106" s="88" t="s">
        <v>66</v>
      </c>
      <c r="F106" s="58">
        <v>1</v>
      </c>
      <c r="G106" s="59">
        <v>3000</v>
      </c>
      <c r="H106" s="58"/>
      <c r="I106" s="59"/>
      <c r="J106" s="59"/>
      <c r="K106" s="59">
        <v>3000</v>
      </c>
      <c r="L106" s="60">
        <v>20221102</v>
      </c>
    </row>
    <row r="107" spans="1:12" x14ac:dyDescent="0.25">
      <c r="A107" s="61" t="s">
        <v>176</v>
      </c>
      <c r="B107" s="49" t="s">
        <v>12</v>
      </c>
      <c r="C107" s="49" t="s">
        <v>26</v>
      </c>
      <c r="D107" s="49" t="s">
        <v>40</v>
      </c>
      <c r="E107" s="84">
        <v>7949550</v>
      </c>
      <c r="F107" s="49">
        <v>1</v>
      </c>
      <c r="G107" s="50">
        <v>3000</v>
      </c>
      <c r="H107" s="49"/>
      <c r="I107" s="50"/>
      <c r="J107" s="50"/>
      <c r="K107" s="50">
        <v>3000</v>
      </c>
      <c r="L107" s="62">
        <v>20221107</v>
      </c>
    </row>
    <row r="108" spans="1:12" ht="15.75" thickBot="1" x14ac:dyDescent="0.3">
      <c r="A108" s="63" t="s">
        <v>177</v>
      </c>
      <c r="B108" s="64" t="s">
        <v>12</v>
      </c>
      <c r="C108" s="64" t="s">
        <v>74</v>
      </c>
      <c r="D108" s="64" t="s">
        <v>34</v>
      </c>
      <c r="E108" s="89" t="s">
        <v>66</v>
      </c>
      <c r="F108" s="64">
        <v>1</v>
      </c>
      <c r="G108" s="65">
        <v>3000</v>
      </c>
      <c r="H108" s="64"/>
      <c r="I108" s="65"/>
      <c r="J108" s="65"/>
      <c r="K108" s="65">
        <v>3000</v>
      </c>
      <c r="L108" s="66">
        <v>20221129</v>
      </c>
    </row>
    <row r="109" spans="1:12" ht="15.75" thickBot="1" x14ac:dyDescent="0.3">
      <c r="A109" s="102"/>
      <c r="B109" s="103"/>
      <c r="C109" s="103"/>
      <c r="D109" s="103"/>
      <c r="E109" s="104"/>
      <c r="F109" s="103"/>
      <c r="G109" s="105"/>
      <c r="H109" s="103"/>
      <c r="I109" s="105"/>
      <c r="J109" s="105"/>
      <c r="K109" s="105"/>
      <c r="L109" s="106"/>
    </row>
    <row r="110" spans="1:12" x14ac:dyDescent="0.25">
      <c r="A110" s="57" t="s">
        <v>170</v>
      </c>
      <c r="B110" s="58" t="s">
        <v>11</v>
      </c>
      <c r="C110" s="58" t="s">
        <v>74</v>
      </c>
      <c r="D110" s="58" t="s">
        <v>34</v>
      </c>
      <c r="E110" s="88" t="s">
        <v>48</v>
      </c>
      <c r="F110" s="58">
        <v>1</v>
      </c>
      <c r="G110" s="59">
        <v>1215</v>
      </c>
      <c r="H110" s="58"/>
      <c r="I110" s="59"/>
      <c r="J110" s="59"/>
      <c r="K110" s="59">
        <v>1215</v>
      </c>
      <c r="L110" s="60">
        <v>20221129</v>
      </c>
    </row>
    <row r="111" spans="1:12" x14ac:dyDescent="0.25">
      <c r="A111" s="61" t="s">
        <v>171</v>
      </c>
      <c r="B111" s="49" t="s">
        <v>11</v>
      </c>
      <c r="C111" s="49" t="s">
        <v>74</v>
      </c>
      <c r="D111" s="49" t="s">
        <v>34</v>
      </c>
      <c r="E111" s="84" t="s">
        <v>50</v>
      </c>
      <c r="F111" s="49">
        <v>1</v>
      </c>
      <c r="G111" s="50">
        <v>1215</v>
      </c>
      <c r="H111" s="49"/>
      <c r="I111" s="50"/>
      <c r="J111" s="50"/>
      <c r="K111" s="50">
        <v>1215</v>
      </c>
      <c r="L111" s="62">
        <v>20221129</v>
      </c>
    </row>
    <row r="112" spans="1:12" x14ac:dyDescent="0.25">
      <c r="A112" s="61" t="s">
        <v>172</v>
      </c>
      <c r="B112" s="49" t="s">
        <v>11</v>
      </c>
      <c r="C112" s="49" t="s">
        <v>74</v>
      </c>
      <c r="D112" s="49" t="s">
        <v>34</v>
      </c>
      <c r="E112" s="84" t="s">
        <v>54</v>
      </c>
      <c r="F112" s="49">
        <v>1</v>
      </c>
      <c r="G112" s="50">
        <v>1215</v>
      </c>
      <c r="H112" s="49"/>
      <c r="I112" s="50"/>
      <c r="J112" s="50"/>
      <c r="K112" s="50">
        <v>1215</v>
      </c>
      <c r="L112" s="62">
        <v>20221129</v>
      </c>
    </row>
    <row r="113" spans="1:12" x14ac:dyDescent="0.25">
      <c r="A113" s="61" t="s">
        <v>173</v>
      </c>
      <c r="B113" s="49" t="s">
        <v>11</v>
      </c>
      <c r="C113" s="49" t="s">
        <v>74</v>
      </c>
      <c r="D113" s="49" t="s">
        <v>34</v>
      </c>
      <c r="E113" s="84" t="s">
        <v>62</v>
      </c>
      <c r="F113" s="49">
        <v>1</v>
      </c>
      <c r="G113" s="50">
        <v>1215</v>
      </c>
      <c r="H113" s="49"/>
      <c r="I113" s="50"/>
      <c r="J113" s="50"/>
      <c r="K113" s="50">
        <v>1215</v>
      </c>
      <c r="L113" s="62">
        <v>20221129</v>
      </c>
    </row>
    <row r="114" spans="1:12" x14ac:dyDescent="0.25">
      <c r="A114" s="61" t="s">
        <v>174</v>
      </c>
      <c r="B114" s="49" t="s">
        <v>11</v>
      </c>
      <c r="C114" s="49" t="s">
        <v>74</v>
      </c>
      <c r="D114" s="49" t="s">
        <v>34</v>
      </c>
      <c r="E114" s="84" t="s">
        <v>56</v>
      </c>
      <c r="F114" s="49">
        <v>1</v>
      </c>
      <c r="G114" s="50">
        <v>1215</v>
      </c>
      <c r="H114" s="49"/>
      <c r="I114" s="50"/>
      <c r="J114" s="50"/>
      <c r="K114" s="50">
        <v>1215</v>
      </c>
      <c r="L114" s="62">
        <v>20221129</v>
      </c>
    </row>
    <row r="115" spans="1:12" ht="15.75" thickBot="1" x14ac:dyDescent="0.3">
      <c r="A115" s="63" t="s">
        <v>175</v>
      </c>
      <c r="B115" s="64" t="s">
        <v>11</v>
      </c>
      <c r="C115" s="64" t="s">
        <v>74</v>
      </c>
      <c r="D115" s="64" t="s">
        <v>34</v>
      </c>
      <c r="E115" s="89" t="s">
        <v>60</v>
      </c>
      <c r="F115" s="64">
        <v>1</v>
      </c>
      <c r="G115" s="65">
        <v>1215</v>
      </c>
      <c r="H115" s="64"/>
      <c r="I115" s="65"/>
      <c r="J115" s="65"/>
      <c r="K115" s="65">
        <v>1215</v>
      </c>
      <c r="L115" s="66">
        <v>20221129</v>
      </c>
    </row>
    <row r="117" spans="1:12" ht="15.75" thickBot="1" x14ac:dyDescent="0.3">
      <c r="A117" s="97" t="s">
        <v>0</v>
      </c>
      <c r="B117" s="98" t="s">
        <v>1</v>
      </c>
      <c r="C117" s="98" t="s">
        <v>2</v>
      </c>
      <c r="D117" s="98" t="s">
        <v>3</v>
      </c>
      <c r="E117" s="99" t="s">
        <v>4</v>
      </c>
      <c r="F117" s="98"/>
      <c r="G117" s="100" t="s">
        <v>6</v>
      </c>
      <c r="H117" s="98" t="s">
        <v>7</v>
      </c>
      <c r="I117" s="100" t="s">
        <v>8</v>
      </c>
      <c r="J117" s="100" t="s">
        <v>9</v>
      </c>
      <c r="K117" s="100" t="s">
        <v>10</v>
      </c>
      <c r="L117" s="101" t="s">
        <v>5</v>
      </c>
    </row>
    <row r="118" spans="1:12" x14ac:dyDescent="0.25">
      <c r="A118" s="57" t="s">
        <v>183</v>
      </c>
      <c r="B118" s="58" t="s">
        <v>12</v>
      </c>
      <c r="C118" s="58" t="s">
        <v>26</v>
      </c>
      <c r="D118" s="58" t="s">
        <v>40</v>
      </c>
      <c r="E118" s="88">
        <v>7947322</v>
      </c>
      <c r="F118" s="58">
        <v>1</v>
      </c>
      <c r="G118" s="59">
        <v>2200</v>
      </c>
      <c r="H118" s="58"/>
      <c r="I118" s="59"/>
      <c r="J118" s="59"/>
      <c r="K118" s="59">
        <v>2200</v>
      </c>
      <c r="L118" s="60">
        <v>20210727</v>
      </c>
    </row>
    <row r="119" spans="1:12" x14ac:dyDescent="0.25">
      <c r="A119" s="61" t="s">
        <v>180</v>
      </c>
      <c r="B119" s="49" t="s">
        <v>111</v>
      </c>
      <c r="C119" s="49" t="s">
        <v>74</v>
      </c>
      <c r="D119" s="49" t="s">
        <v>181</v>
      </c>
      <c r="E119" s="84" t="s">
        <v>182</v>
      </c>
      <c r="F119" s="49">
        <v>1</v>
      </c>
      <c r="G119" s="50">
        <v>3000</v>
      </c>
      <c r="H119" s="49"/>
      <c r="I119" s="50"/>
      <c r="J119" s="50"/>
      <c r="K119" s="50">
        <v>3000</v>
      </c>
      <c r="L119" s="62">
        <v>20220121</v>
      </c>
    </row>
    <row r="120" spans="1:12" ht="15.75" thickBot="1" x14ac:dyDescent="0.3">
      <c r="A120" s="63" t="s">
        <v>179</v>
      </c>
      <c r="B120" s="64" t="s">
        <v>12</v>
      </c>
      <c r="C120" s="64" t="s">
        <v>26</v>
      </c>
      <c r="D120" s="64" t="s">
        <v>40</v>
      </c>
      <c r="E120" s="89">
        <v>7947322</v>
      </c>
      <c r="F120" s="64">
        <v>1</v>
      </c>
      <c r="G120" s="65">
        <v>3000</v>
      </c>
      <c r="H120" s="64"/>
      <c r="I120" s="65"/>
      <c r="J120" s="65"/>
      <c r="K120" s="65">
        <v>3000</v>
      </c>
      <c r="L120" s="66">
        <v>20221107</v>
      </c>
    </row>
    <row r="123" spans="1:12" ht="15.75" thickBot="1" x14ac:dyDescent="0.3">
      <c r="A123" s="97" t="s">
        <v>0</v>
      </c>
      <c r="B123" s="98" t="s">
        <v>1</v>
      </c>
      <c r="C123" s="98" t="s">
        <v>2</v>
      </c>
      <c r="D123" s="98" t="s">
        <v>3</v>
      </c>
      <c r="E123" s="99" t="s">
        <v>4</v>
      </c>
      <c r="F123" s="98"/>
      <c r="G123" s="100" t="s">
        <v>6</v>
      </c>
      <c r="H123" s="98" t="s">
        <v>7</v>
      </c>
      <c r="I123" s="100" t="s">
        <v>8</v>
      </c>
      <c r="J123" s="100" t="s">
        <v>9</v>
      </c>
      <c r="K123" s="100" t="s">
        <v>10</v>
      </c>
      <c r="L123" s="101" t="s">
        <v>5</v>
      </c>
    </row>
    <row r="124" spans="1:12" x14ac:dyDescent="0.25">
      <c r="A124" s="57" t="s">
        <v>186</v>
      </c>
      <c r="B124" s="58" t="s">
        <v>12</v>
      </c>
      <c r="C124" s="58" t="s">
        <v>74</v>
      </c>
      <c r="D124" s="58" t="s">
        <v>34</v>
      </c>
      <c r="E124" s="88" t="s">
        <v>66</v>
      </c>
      <c r="F124" s="58">
        <v>1</v>
      </c>
      <c r="G124" s="59">
        <v>3000</v>
      </c>
      <c r="H124" s="58"/>
      <c r="I124" s="59"/>
      <c r="J124" s="59"/>
      <c r="K124" s="59">
        <v>3000</v>
      </c>
      <c r="L124" s="60">
        <v>20230111</v>
      </c>
    </row>
    <row r="125" spans="1:12" ht="15.75" thickBot="1" x14ac:dyDescent="0.3">
      <c r="A125" s="63" t="s">
        <v>185</v>
      </c>
      <c r="B125" s="64" t="s">
        <v>111</v>
      </c>
      <c r="C125" s="64" t="s">
        <v>130</v>
      </c>
      <c r="D125" s="64" t="s">
        <v>131</v>
      </c>
      <c r="E125" s="89" t="s">
        <v>132</v>
      </c>
      <c r="F125" s="64">
        <v>1</v>
      </c>
      <c r="G125" s="65">
        <v>3000</v>
      </c>
      <c r="H125" s="64"/>
      <c r="I125" s="65"/>
      <c r="J125" s="65"/>
      <c r="K125" s="65">
        <v>3000</v>
      </c>
      <c r="L125" s="66">
        <v>20230127</v>
      </c>
    </row>
    <row r="127" spans="1:12" ht="15.75" thickBot="1" x14ac:dyDescent="0.3">
      <c r="A127" s="97" t="s">
        <v>0</v>
      </c>
      <c r="B127" s="98" t="s">
        <v>1</v>
      </c>
      <c r="C127" s="98" t="s">
        <v>2</v>
      </c>
      <c r="D127" s="98" t="s">
        <v>3</v>
      </c>
      <c r="E127" s="99" t="s">
        <v>4</v>
      </c>
      <c r="F127" s="98"/>
      <c r="G127" s="100" t="s">
        <v>6</v>
      </c>
      <c r="H127" s="98" t="s">
        <v>7</v>
      </c>
      <c r="I127" s="100" t="s">
        <v>8</v>
      </c>
      <c r="J127" s="100" t="s">
        <v>9</v>
      </c>
      <c r="K127" s="100" t="s">
        <v>10</v>
      </c>
      <c r="L127" s="101" t="s">
        <v>5</v>
      </c>
    </row>
    <row r="128" spans="1:12" x14ac:dyDescent="0.25">
      <c r="A128" s="57" t="s">
        <v>191</v>
      </c>
      <c r="B128" s="58" t="s">
        <v>12</v>
      </c>
      <c r="C128" s="58" t="s">
        <v>33</v>
      </c>
      <c r="D128" s="58" t="s">
        <v>34</v>
      </c>
      <c r="E128" s="88" t="s">
        <v>192</v>
      </c>
      <c r="F128" s="58">
        <v>1</v>
      </c>
      <c r="G128" s="59">
        <v>3000</v>
      </c>
      <c r="H128" s="58"/>
      <c r="I128" s="59"/>
      <c r="J128" s="59"/>
      <c r="K128" s="59">
        <v>3000</v>
      </c>
      <c r="L128" s="60">
        <v>20230110</v>
      </c>
    </row>
    <row r="129" spans="1:12" x14ac:dyDescent="0.25">
      <c r="A129" s="61" t="s">
        <v>188</v>
      </c>
      <c r="B129" s="49" t="s">
        <v>111</v>
      </c>
      <c r="C129" s="49" t="s">
        <v>130</v>
      </c>
      <c r="D129" s="49" t="s">
        <v>131</v>
      </c>
      <c r="E129" s="84" t="s">
        <v>132</v>
      </c>
      <c r="F129" s="49">
        <v>1</v>
      </c>
      <c r="G129" s="50">
        <v>3000</v>
      </c>
      <c r="H129" s="49"/>
      <c r="I129" s="50"/>
      <c r="J129" s="50"/>
      <c r="K129" s="50">
        <v>3000</v>
      </c>
      <c r="L129" s="62">
        <v>20230223</v>
      </c>
    </row>
    <row r="130" spans="1:12" x14ac:dyDescent="0.25">
      <c r="A130" s="61" t="s">
        <v>189</v>
      </c>
      <c r="B130" s="49" t="s">
        <v>111</v>
      </c>
      <c r="C130" s="49" t="s">
        <v>122</v>
      </c>
      <c r="D130" s="49" t="s">
        <v>123</v>
      </c>
      <c r="E130" s="84" t="s">
        <v>126</v>
      </c>
      <c r="F130" s="49">
        <v>1</v>
      </c>
      <c r="G130" s="50">
        <v>3000</v>
      </c>
      <c r="H130" s="49"/>
      <c r="I130" s="50"/>
      <c r="J130" s="50"/>
      <c r="K130" s="50">
        <v>3000</v>
      </c>
      <c r="L130" s="62">
        <v>20230313</v>
      </c>
    </row>
    <row r="131" spans="1:12" x14ac:dyDescent="0.25">
      <c r="A131" s="61" t="s">
        <v>190</v>
      </c>
      <c r="B131" s="49" t="s">
        <v>111</v>
      </c>
      <c r="C131" s="49" t="s">
        <v>122</v>
      </c>
      <c r="D131" s="49" t="s">
        <v>123</v>
      </c>
      <c r="E131" s="84" t="s">
        <v>124</v>
      </c>
      <c r="F131" s="49">
        <v>1</v>
      </c>
      <c r="G131" s="50">
        <v>3000</v>
      </c>
      <c r="H131" s="49"/>
      <c r="I131" s="50"/>
      <c r="J131" s="50"/>
      <c r="K131" s="50">
        <v>3000</v>
      </c>
      <c r="L131" s="62">
        <v>20230313</v>
      </c>
    </row>
    <row r="132" spans="1:12" ht="15.75" thickBot="1" x14ac:dyDescent="0.3">
      <c r="A132" s="63" t="s">
        <v>187</v>
      </c>
      <c r="B132" s="64" t="s">
        <v>12</v>
      </c>
      <c r="C132" s="64" t="s">
        <v>26</v>
      </c>
      <c r="D132" s="64" t="s">
        <v>40</v>
      </c>
      <c r="E132" s="89">
        <v>7949550</v>
      </c>
      <c r="F132" s="64">
        <v>1</v>
      </c>
      <c r="G132" s="65">
        <v>3000</v>
      </c>
      <c r="H132" s="64"/>
      <c r="I132" s="65"/>
      <c r="J132" s="65"/>
      <c r="K132" s="65">
        <v>3000</v>
      </c>
      <c r="L132" s="66">
        <v>20230330</v>
      </c>
    </row>
    <row r="135" spans="1:12" ht="15.75" thickBot="1" x14ac:dyDescent="0.3">
      <c r="A135" s="97" t="s">
        <v>0</v>
      </c>
      <c r="B135" s="98" t="s">
        <v>1</v>
      </c>
      <c r="C135" s="98" t="s">
        <v>2</v>
      </c>
      <c r="D135" s="98" t="s">
        <v>3</v>
      </c>
      <c r="E135" s="99" t="s">
        <v>4</v>
      </c>
      <c r="F135" s="98"/>
      <c r="G135" s="100" t="s">
        <v>6</v>
      </c>
      <c r="H135" s="98" t="s">
        <v>7</v>
      </c>
      <c r="I135" s="100" t="s">
        <v>8</v>
      </c>
      <c r="J135" s="100" t="s">
        <v>9</v>
      </c>
      <c r="K135" s="100" t="s">
        <v>10</v>
      </c>
      <c r="L135" s="101" t="s">
        <v>5</v>
      </c>
    </row>
    <row r="136" spans="1:12" x14ac:dyDescent="0.25">
      <c r="A136" s="57" t="s">
        <v>193</v>
      </c>
      <c r="B136" s="58" t="s">
        <v>12</v>
      </c>
      <c r="C136" s="58" t="s">
        <v>33</v>
      </c>
      <c r="D136" s="58" t="s">
        <v>34</v>
      </c>
      <c r="E136" s="88" t="s">
        <v>162</v>
      </c>
      <c r="F136" s="58">
        <v>1</v>
      </c>
      <c r="G136" s="59">
        <v>3000</v>
      </c>
      <c r="H136" s="58"/>
      <c r="I136" s="59"/>
      <c r="J136" s="59"/>
      <c r="K136" s="59">
        <v>3000</v>
      </c>
      <c r="L136" s="60">
        <v>20230426</v>
      </c>
    </row>
    <row r="137" spans="1:12" x14ac:dyDescent="0.25">
      <c r="A137" s="61" t="s">
        <v>194</v>
      </c>
      <c r="B137" s="49" t="s">
        <v>12</v>
      </c>
      <c r="C137" s="49" t="s">
        <v>33</v>
      </c>
      <c r="D137" s="49" t="s">
        <v>34</v>
      </c>
      <c r="E137" s="84" t="s">
        <v>192</v>
      </c>
      <c r="F137" s="49">
        <v>1</v>
      </c>
      <c r="G137" s="50">
        <v>3000</v>
      </c>
      <c r="H137" s="49"/>
      <c r="I137" s="50"/>
      <c r="J137" s="50"/>
      <c r="K137" s="50">
        <v>3000</v>
      </c>
      <c r="L137" s="62">
        <v>20230426</v>
      </c>
    </row>
    <row r="138" spans="1:12" ht="15.75" thickBot="1" x14ac:dyDescent="0.3">
      <c r="A138" s="63" t="s">
        <v>195</v>
      </c>
      <c r="B138" s="64" t="s">
        <v>12</v>
      </c>
      <c r="C138" s="64" t="s">
        <v>26</v>
      </c>
      <c r="D138" s="64" t="s">
        <v>40</v>
      </c>
      <c r="E138" s="89" t="s">
        <v>93</v>
      </c>
      <c r="F138" s="64">
        <v>1</v>
      </c>
      <c r="G138" s="65">
        <v>3000</v>
      </c>
      <c r="H138" s="64"/>
      <c r="I138" s="65"/>
      <c r="J138" s="65"/>
      <c r="K138" s="65">
        <v>3000</v>
      </c>
      <c r="L138" s="66">
        <v>20230426</v>
      </c>
    </row>
    <row r="140" spans="1:12" ht="15.75" thickBot="1" x14ac:dyDescent="0.3">
      <c r="A140" s="97" t="s">
        <v>0</v>
      </c>
      <c r="B140" s="98" t="s">
        <v>1</v>
      </c>
      <c r="C140" s="98" t="s">
        <v>2</v>
      </c>
      <c r="D140" s="98" t="s">
        <v>3</v>
      </c>
      <c r="E140" s="99" t="s">
        <v>4</v>
      </c>
      <c r="F140" s="98"/>
      <c r="G140" s="100" t="s">
        <v>6</v>
      </c>
      <c r="H140" s="98" t="s">
        <v>7</v>
      </c>
      <c r="I140" s="100" t="s">
        <v>8</v>
      </c>
      <c r="J140" s="100" t="s">
        <v>9</v>
      </c>
      <c r="K140" s="100" t="s">
        <v>10</v>
      </c>
      <c r="L140" s="101" t="s">
        <v>5</v>
      </c>
    </row>
    <row r="141" spans="1:12" x14ac:dyDescent="0.25">
      <c r="A141" s="57" t="s">
        <v>197</v>
      </c>
      <c r="B141" s="58" t="s">
        <v>12</v>
      </c>
      <c r="C141" s="58" t="s">
        <v>103</v>
      </c>
      <c r="D141" s="58" t="s">
        <v>34</v>
      </c>
      <c r="E141" s="88" t="s">
        <v>104</v>
      </c>
      <c r="F141" s="58">
        <v>1</v>
      </c>
      <c r="G141" s="59">
        <v>3000</v>
      </c>
      <c r="H141" s="58"/>
      <c r="I141" s="59"/>
      <c r="J141" s="59"/>
      <c r="K141" s="59">
        <v>3000</v>
      </c>
      <c r="L141" s="60">
        <v>20230515</v>
      </c>
    </row>
    <row r="142" spans="1:12" ht="15.75" thickBot="1" x14ac:dyDescent="0.3">
      <c r="A142" s="63" t="s">
        <v>196</v>
      </c>
      <c r="B142" s="64" t="s">
        <v>12</v>
      </c>
      <c r="C142" s="64" t="s">
        <v>103</v>
      </c>
      <c r="D142" s="64" t="s">
        <v>34</v>
      </c>
      <c r="E142" s="89" t="s">
        <v>104</v>
      </c>
      <c r="F142" s="64">
        <v>1</v>
      </c>
      <c r="G142" s="65">
        <v>3000</v>
      </c>
      <c r="H142" s="64"/>
      <c r="I142" s="65"/>
      <c r="J142" s="65"/>
      <c r="K142" s="65">
        <v>3000</v>
      </c>
      <c r="L142" s="66">
        <v>20230529</v>
      </c>
    </row>
    <row r="144" spans="1:12" ht="15.75" thickBot="1" x14ac:dyDescent="0.3"/>
    <row r="145" spans="1:12" ht="15.75" thickBot="1" x14ac:dyDescent="0.3">
      <c r="A145" s="109" t="s">
        <v>0</v>
      </c>
      <c r="B145" s="110" t="s">
        <v>1</v>
      </c>
      <c r="C145" s="110" t="s">
        <v>2</v>
      </c>
      <c r="D145" s="110" t="s">
        <v>3</v>
      </c>
      <c r="E145" s="111" t="s">
        <v>4</v>
      </c>
      <c r="F145" s="110"/>
      <c r="G145" s="112" t="s">
        <v>6</v>
      </c>
      <c r="H145" s="110" t="s">
        <v>7</v>
      </c>
      <c r="I145" s="112" t="s">
        <v>8</v>
      </c>
      <c r="J145" s="112" t="s">
        <v>9</v>
      </c>
      <c r="K145" s="112" t="s">
        <v>10</v>
      </c>
      <c r="L145" s="113" t="s">
        <v>5</v>
      </c>
    </row>
    <row r="146" spans="1:12" x14ac:dyDescent="0.25">
      <c r="A146" s="57" t="s">
        <v>201</v>
      </c>
      <c r="B146" s="58" t="s">
        <v>12</v>
      </c>
      <c r="C146" s="58" t="s">
        <v>33</v>
      </c>
      <c r="D146" s="58" t="s">
        <v>34</v>
      </c>
      <c r="E146" s="88" t="s">
        <v>192</v>
      </c>
      <c r="F146" s="58">
        <v>1</v>
      </c>
      <c r="G146" s="59">
        <v>6645</v>
      </c>
      <c r="H146" s="58"/>
      <c r="I146" s="59"/>
      <c r="J146" s="59"/>
      <c r="K146" s="59">
        <v>6645</v>
      </c>
      <c r="L146" s="60">
        <v>20230613</v>
      </c>
    </row>
    <row r="147" spans="1:12" x14ac:dyDescent="0.25">
      <c r="A147" s="61" t="s">
        <v>198</v>
      </c>
      <c r="B147" s="49" t="s">
        <v>12</v>
      </c>
      <c r="C147" s="49" t="s">
        <v>130</v>
      </c>
      <c r="D147" s="49" t="s">
        <v>131</v>
      </c>
      <c r="E147" s="84" t="s">
        <v>199</v>
      </c>
      <c r="F147" s="49">
        <v>1</v>
      </c>
      <c r="G147" s="50">
        <v>6645</v>
      </c>
      <c r="H147" s="49"/>
      <c r="I147" s="50"/>
      <c r="J147" s="50"/>
      <c r="K147" s="50">
        <v>6645</v>
      </c>
      <c r="L147" s="62">
        <v>20230627</v>
      </c>
    </row>
    <row r="148" spans="1:12" ht="15.75" thickBot="1" x14ac:dyDescent="0.3">
      <c r="A148" s="63" t="s">
        <v>200</v>
      </c>
      <c r="B148" s="64" t="s">
        <v>12</v>
      </c>
      <c r="C148" s="64" t="s">
        <v>103</v>
      </c>
      <c r="D148" s="64" t="s">
        <v>34</v>
      </c>
      <c r="E148" s="89" t="s">
        <v>104</v>
      </c>
      <c r="F148" s="64">
        <v>1</v>
      </c>
      <c r="G148" s="65">
        <v>6645</v>
      </c>
      <c r="H148" s="64"/>
      <c r="I148" s="65"/>
      <c r="J148" s="65"/>
      <c r="K148" s="65">
        <v>6645</v>
      </c>
      <c r="L148" s="66">
        <v>20230630</v>
      </c>
    </row>
    <row r="151" spans="1:12" ht="15.75" thickBot="1" x14ac:dyDescent="0.3">
      <c r="A151" s="97" t="s">
        <v>0</v>
      </c>
      <c r="B151" s="98" t="s">
        <v>1</v>
      </c>
      <c r="C151" s="98" t="s">
        <v>2</v>
      </c>
      <c r="D151" s="98" t="s">
        <v>3</v>
      </c>
      <c r="E151" s="99" t="s">
        <v>4</v>
      </c>
      <c r="F151" s="98"/>
      <c r="G151" s="100" t="s">
        <v>6</v>
      </c>
      <c r="H151" s="98" t="s">
        <v>7</v>
      </c>
      <c r="I151" s="100" t="s">
        <v>8</v>
      </c>
      <c r="J151" s="100" t="s">
        <v>9</v>
      </c>
      <c r="K151" s="100" t="s">
        <v>10</v>
      </c>
      <c r="L151" s="101" t="s">
        <v>5</v>
      </c>
    </row>
    <row r="152" spans="1:12" x14ac:dyDescent="0.25">
      <c r="A152" s="57" t="s">
        <v>207</v>
      </c>
      <c r="B152" s="58" t="s">
        <v>12</v>
      </c>
      <c r="C152" s="58" t="s">
        <v>136</v>
      </c>
      <c r="D152" s="58" t="s">
        <v>137</v>
      </c>
      <c r="E152" s="88" t="s">
        <v>140</v>
      </c>
      <c r="F152" s="58">
        <v>1</v>
      </c>
      <c r="G152" s="59">
        <v>6645</v>
      </c>
      <c r="H152" s="58"/>
      <c r="I152" s="59"/>
      <c r="J152" s="59"/>
      <c r="K152" s="59">
        <f>J152+G152</f>
        <v>6645</v>
      </c>
      <c r="L152" s="60">
        <v>20230720</v>
      </c>
    </row>
    <row r="153" spans="1:12" ht="15.75" thickBot="1" x14ac:dyDescent="0.3">
      <c r="A153" s="63" t="s">
        <v>202</v>
      </c>
      <c r="B153" s="64" t="s">
        <v>12</v>
      </c>
      <c r="C153" s="64" t="s">
        <v>100</v>
      </c>
      <c r="D153" s="64" t="s">
        <v>203</v>
      </c>
      <c r="E153" s="89" t="s">
        <v>101</v>
      </c>
      <c r="F153" s="64">
        <v>1</v>
      </c>
      <c r="G153" s="65">
        <v>6645</v>
      </c>
      <c r="H153" s="64"/>
      <c r="I153" s="65"/>
      <c r="J153" s="65"/>
      <c r="K153" s="65">
        <f t="shared" ref="K153:K157" si="2">J153+G153</f>
        <v>6645</v>
      </c>
      <c r="L153" s="66">
        <v>20230731</v>
      </c>
    </row>
    <row r="154" spans="1:12" ht="15.75" thickBot="1" x14ac:dyDescent="0.3">
      <c r="A154" s="102"/>
      <c r="B154" s="103"/>
      <c r="C154" s="103"/>
      <c r="D154" s="103"/>
      <c r="E154" s="104"/>
      <c r="F154" s="103"/>
      <c r="G154" s="105"/>
      <c r="H154" s="103"/>
      <c r="I154" s="105"/>
      <c r="J154" s="105"/>
      <c r="K154" s="105"/>
      <c r="L154" s="106"/>
    </row>
    <row r="155" spans="1:12" x14ac:dyDescent="0.25">
      <c r="A155" s="57" t="s">
        <v>204</v>
      </c>
      <c r="B155" s="58" t="s">
        <v>11</v>
      </c>
      <c r="C155" s="58" t="s">
        <v>136</v>
      </c>
      <c r="D155" s="58" t="s">
        <v>137</v>
      </c>
      <c r="E155" s="88" t="s">
        <v>138</v>
      </c>
      <c r="F155" s="58">
        <v>1</v>
      </c>
      <c r="G155" s="59">
        <v>3000</v>
      </c>
      <c r="H155" s="58"/>
      <c r="I155" s="59"/>
      <c r="J155" s="59"/>
      <c r="K155" s="59">
        <f t="shared" si="2"/>
        <v>3000</v>
      </c>
      <c r="L155" s="60">
        <v>20230720</v>
      </c>
    </row>
    <row r="156" spans="1:12" x14ac:dyDescent="0.25">
      <c r="A156" s="61" t="s">
        <v>205</v>
      </c>
      <c r="B156" s="49" t="s">
        <v>11</v>
      </c>
      <c r="C156" s="49" t="s">
        <v>136</v>
      </c>
      <c r="D156" s="49" t="s">
        <v>137</v>
      </c>
      <c r="E156" s="84" t="s">
        <v>142</v>
      </c>
      <c r="F156" s="49">
        <v>1</v>
      </c>
      <c r="G156" s="50">
        <v>3000</v>
      </c>
      <c r="H156" s="49"/>
      <c r="I156" s="50"/>
      <c r="J156" s="50"/>
      <c r="K156" s="50">
        <f t="shared" si="2"/>
        <v>3000</v>
      </c>
      <c r="L156" s="62">
        <v>20230720</v>
      </c>
    </row>
    <row r="157" spans="1:12" ht="15.75" thickBot="1" x14ac:dyDescent="0.3">
      <c r="A157" s="63" t="s">
        <v>206</v>
      </c>
      <c r="B157" s="64" t="s">
        <v>11</v>
      </c>
      <c r="C157" s="64" t="s">
        <v>136</v>
      </c>
      <c r="D157" s="64" t="s">
        <v>137</v>
      </c>
      <c r="E157" s="89" t="s">
        <v>144</v>
      </c>
      <c r="F157" s="64">
        <v>1</v>
      </c>
      <c r="G157" s="65">
        <v>3000</v>
      </c>
      <c r="H157" s="64"/>
      <c r="I157" s="65"/>
      <c r="J157" s="65"/>
      <c r="K157" s="65">
        <f t="shared" si="2"/>
        <v>3000</v>
      </c>
      <c r="L157" s="66">
        <v>20230720</v>
      </c>
    </row>
    <row r="159" spans="1:12" ht="15.75" thickBot="1" x14ac:dyDescent="0.3">
      <c r="A159" s="97" t="s">
        <v>0</v>
      </c>
      <c r="B159" s="98" t="s">
        <v>1</v>
      </c>
      <c r="C159" s="98" t="s">
        <v>2</v>
      </c>
      <c r="D159" s="98" t="s">
        <v>3</v>
      </c>
      <c r="E159" s="99" t="s">
        <v>4</v>
      </c>
      <c r="F159" s="98"/>
      <c r="G159" s="100" t="s">
        <v>6</v>
      </c>
      <c r="H159" s="98" t="s">
        <v>7</v>
      </c>
      <c r="I159" s="100" t="s">
        <v>8</v>
      </c>
      <c r="J159" s="100" t="s">
        <v>9</v>
      </c>
      <c r="K159" s="100" t="s">
        <v>10</v>
      </c>
      <c r="L159" s="101" t="s">
        <v>5</v>
      </c>
    </row>
    <row r="160" spans="1:12" ht="15.75" thickBot="1" x14ac:dyDescent="0.3">
      <c r="A160" s="18" t="s">
        <v>208</v>
      </c>
      <c r="B160" s="19" t="s">
        <v>12</v>
      </c>
      <c r="C160" s="19" t="s">
        <v>26</v>
      </c>
      <c r="D160" s="19" t="s">
        <v>40</v>
      </c>
      <c r="E160" s="22" t="s">
        <v>107</v>
      </c>
      <c r="F160" s="19">
        <v>1</v>
      </c>
      <c r="G160" s="95">
        <v>6645</v>
      </c>
      <c r="H160" s="19"/>
      <c r="I160" s="95"/>
      <c r="J160" s="95"/>
      <c r="K160" s="95">
        <v>6645</v>
      </c>
      <c r="L160" s="96">
        <v>20230814</v>
      </c>
    </row>
    <row r="161" spans="1:12" ht="15.75" thickBot="1" x14ac:dyDescent="0.3">
      <c r="A161" s="102"/>
      <c r="B161" s="103"/>
      <c r="C161" s="103"/>
      <c r="D161" s="103"/>
      <c r="E161" s="104"/>
      <c r="F161" s="103"/>
      <c r="G161" s="105"/>
      <c r="H161" s="103"/>
      <c r="I161" s="105"/>
      <c r="J161" s="105"/>
      <c r="K161" s="105"/>
      <c r="L161" s="106"/>
    </row>
    <row r="162" spans="1:12" x14ac:dyDescent="0.25">
      <c r="A162" s="57" t="s">
        <v>215</v>
      </c>
      <c r="B162" s="58" t="s">
        <v>11</v>
      </c>
      <c r="C162" s="58" t="s">
        <v>74</v>
      </c>
      <c r="D162" s="58" t="s">
        <v>34</v>
      </c>
      <c r="E162" s="88" t="s">
        <v>60</v>
      </c>
      <c r="F162" s="58">
        <v>1</v>
      </c>
      <c r="G162" s="59">
        <v>3000</v>
      </c>
      <c r="H162" s="58"/>
      <c r="I162" s="59"/>
      <c r="J162" s="59"/>
      <c r="K162" s="59">
        <v>3000</v>
      </c>
      <c r="L162" s="60">
        <v>20230801</v>
      </c>
    </row>
    <row r="163" spans="1:12" x14ac:dyDescent="0.25">
      <c r="A163" s="61" t="s">
        <v>216</v>
      </c>
      <c r="B163" s="49" t="s">
        <v>11</v>
      </c>
      <c r="C163" s="49" t="s">
        <v>74</v>
      </c>
      <c r="D163" s="49" t="s">
        <v>34</v>
      </c>
      <c r="E163" s="84" t="s">
        <v>52</v>
      </c>
      <c r="F163" s="49">
        <v>1</v>
      </c>
      <c r="G163" s="50">
        <v>3000</v>
      </c>
      <c r="H163" s="49"/>
      <c r="I163" s="50"/>
      <c r="J163" s="50"/>
      <c r="K163" s="50">
        <v>3000</v>
      </c>
      <c r="L163" s="62">
        <v>20230801</v>
      </c>
    </row>
    <row r="164" spans="1:12" x14ac:dyDescent="0.25">
      <c r="A164" s="61" t="s">
        <v>214</v>
      </c>
      <c r="B164" s="49" t="s">
        <v>11</v>
      </c>
      <c r="C164" s="49" t="s">
        <v>74</v>
      </c>
      <c r="D164" s="49" t="s">
        <v>34</v>
      </c>
      <c r="E164" s="84" t="s">
        <v>56</v>
      </c>
      <c r="F164" s="49">
        <v>1</v>
      </c>
      <c r="G164" s="50">
        <v>3000</v>
      </c>
      <c r="H164" s="49"/>
      <c r="I164" s="50"/>
      <c r="J164" s="50"/>
      <c r="K164" s="50">
        <v>3000</v>
      </c>
      <c r="L164" s="62">
        <v>20230801</v>
      </c>
    </row>
    <row r="165" spans="1:12" x14ac:dyDescent="0.25">
      <c r="A165" s="61" t="s">
        <v>211</v>
      </c>
      <c r="B165" s="49" t="s">
        <v>11</v>
      </c>
      <c r="C165" s="49" t="s">
        <v>74</v>
      </c>
      <c r="D165" s="49" t="s">
        <v>34</v>
      </c>
      <c r="E165" s="84" t="s">
        <v>62</v>
      </c>
      <c r="F165" s="49">
        <v>1</v>
      </c>
      <c r="G165" s="50">
        <v>3000</v>
      </c>
      <c r="H165" s="49"/>
      <c r="I165" s="50"/>
      <c r="J165" s="50"/>
      <c r="K165" s="50">
        <v>3000</v>
      </c>
      <c r="L165" s="62">
        <v>20230801</v>
      </c>
    </row>
    <row r="166" spans="1:12" x14ac:dyDescent="0.25">
      <c r="A166" s="61" t="s">
        <v>213</v>
      </c>
      <c r="B166" s="49" t="s">
        <v>11</v>
      </c>
      <c r="C166" s="49" t="s">
        <v>74</v>
      </c>
      <c r="D166" s="49" t="s">
        <v>34</v>
      </c>
      <c r="E166" s="84" t="s">
        <v>62</v>
      </c>
      <c r="F166" s="49">
        <v>1</v>
      </c>
      <c r="G166" s="50">
        <v>3000</v>
      </c>
      <c r="H166" s="49"/>
      <c r="I166" s="50"/>
      <c r="J166" s="50"/>
      <c r="K166" s="50">
        <v>3000</v>
      </c>
      <c r="L166" s="62">
        <v>20230801</v>
      </c>
    </row>
    <row r="167" spans="1:12" x14ac:dyDescent="0.25">
      <c r="A167" s="61" t="s">
        <v>212</v>
      </c>
      <c r="B167" s="49" t="s">
        <v>11</v>
      </c>
      <c r="C167" s="49" t="s">
        <v>74</v>
      </c>
      <c r="D167" s="49" t="s">
        <v>34</v>
      </c>
      <c r="E167" s="84" t="s">
        <v>54</v>
      </c>
      <c r="F167" s="49">
        <v>1</v>
      </c>
      <c r="G167" s="50">
        <v>3000</v>
      </c>
      <c r="H167" s="49"/>
      <c r="I167" s="50"/>
      <c r="J167" s="50"/>
      <c r="K167" s="50">
        <v>3000</v>
      </c>
      <c r="L167" s="62">
        <v>20230801</v>
      </c>
    </row>
    <row r="168" spans="1:12" x14ac:dyDescent="0.25">
      <c r="A168" s="61" t="s">
        <v>210</v>
      </c>
      <c r="B168" s="49" t="s">
        <v>11</v>
      </c>
      <c r="C168" s="49" t="s">
        <v>74</v>
      </c>
      <c r="D168" s="49" t="s">
        <v>34</v>
      </c>
      <c r="E168" s="84" t="s">
        <v>50</v>
      </c>
      <c r="F168" s="49">
        <v>1</v>
      </c>
      <c r="G168" s="50">
        <v>3000</v>
      </c>
      <c r="H168" s="49"/>
      <c r="I168" s="50"/>
      <c r="J168" s="50"/>
      <c r="K168" s="50">
        <v>3000</v>
      </c>
      <c r="L168" s="62">
        <v>20230801</v>
      </c>
    </row>
    <row r="169" spans="1:12" ht="15.75" thickBot="1" x14ac:dyDescent="0.3">
      <c r="A169" s="63" t="s">
        <v>209</v>
      </c>
      <c r="B169" s="64" t="s">
        <v>11</v>
      </c>
      <c r="C169" s="64" t="s">
        <v>74</v>
      </c>
      <c r="D169" s="64" t="s">
        <v>34</v>
      </c>
      <c r="E169" s="89" t="s">
        <v>48</v>
      </c>
      <c r="F169" s="64">
        <v>1</v>
      </c>
      <c r="G169" s="65">
        <v>3000</v>
      </c>
      <c r="H169" s="64"/>
      <c r="I169" s="65"/>
      <c r="J169" s="65"/>
      <c r="K169" s="65">
        <v>3000</v>
      </c>
      <c r="L169" s="66">
        <v>20230801</v>
      </c>
    </row>
    <row r="171" spans="1:12" ht="15.75" thickBot="1" x14ac:dyDescent="0.3">
      <c r="A171" s="97" t="s">
        <v>0</v>
      </c>
      <c r="B171" s="98" t="s">
        <v>1</v>
      </c>
      <c r="C171" s="98" t="s">
        <v>2</v>
      </c>
      <c r="D171" s="98" t="s">
        <v>3</v>
      </c>
      <c r="E171" s="99" t="s">
        <v>4</v>
      </c>
      <c r="F171" s="98"/>
      <c r="G171" s="100" t="s">
        <v>6</v>
      </c>
      <c r="H171" s="98" t="s">
        <v>7</v>
      </c>
      <c r="I171" s="100" t="s">
        <v>8</v>
      </c>
      <c r="J171" s="100" t="s">
        <v>9</v>
      </c>
      <c r="K171" s="100" t="s">
        <v>10</v>
      </c>
      <c r="L171" s="101" t="s">
        <v>5</v>
      </c>
    </row>
    <row r="172" spans="1:12" x14ac:dyDescent="0.25">
      <c r="A172" s="57" t="s">
        <v>219</v>
      </c>
      <c r="B172" s="58" t="s">
        <v>12</v>
      </c>
      <c r="C172" s="58" t="s">
        <v>26</v>
      </c>
      <c r="D172" s="58" t="s">
        <v>40</v>
      </c>
      <c r="E172" s="88">
        <v>7949550</v>
      </c>
      <c r="F172" s="58">
        <v>1</v>
      </c>
      <c r="G172" s="59">
        <v>6645</v>
      </c>
      <c r="H172" s="58"/>
      <c r="I172" s="59"/>
      <c r="J172" s="59"/>
      <c r="K172" s="59">
        <v>6645</v>
      </c>
      <c r="L172" s="60">
        <v>20230911</v>
      </c>
    </row>
    <row r="173" spans="1:12" x14ac:dyDescent="0.25">
      <c r="A173" s="61" t="s">
        <v>220</v>
      </c>
      <c r="B173" s="49" t="s">
        <v>12</v>
      </c>
      <c r="C173" s="49" t="s">
        <v>28</v>
      </c>
      <c r="D173" s="49" t="s">
        <v>71</v>
      </c>
      <c r="E173" s="84" t="s">
        <v>72</v>
      </c>
      <c r="F173" s="49">
        <v>1</v>
      </c>
      <c r="G173" s="50">
        <v>6645</v>
      </c>
      <c r="H173" s="49"/>
      <c r="I173" s="50"/>
      <c r="J173" s="50"/>
      <c r="K173" s="50">
        <v>6645</v>
      </c>
      <c r="L173" s="62">
        <v>20230911</v>
      </c>
    </row>
    <row r="174" spans="1:12" x14ac:dyDescent="0.25">
      <c r="A174" s="61" t="s">
        <v>217</v>
      </c>
      <c r="B174" s="49" t="s">
        <v>12</v>
      </c>
      <c r="C174" s="49" t="s">
        <v>26</v>
      </c>
      <c r="D174" s="49" t="s">
        <v>40</v>
      </c>
      <c r="E174" s="84">
        <v>7949550</v>
      </c>
      <c r="F174" s="49">
        <v>1</v>
      </c>
      <c r="G174" s="50">
        <v>6645</v>
      </c>
      <c r="H174" s="49"/>
      <c r="I174" s="50"/>
      <c r="J174" s="50"/>
      <c r="K174" s="50">
        <v>6645</v>
      </c>
      <c r="L174" s="62">
        <v>20230913</v>
      </c>
    </row>
    <row r="175" spans="1:12" ht="15.75" thickBot="1" x14ac:dyDescent="0.3">
      <c r="A175" s="63" t="s">
        <v>218</v>
      </c>
      <c r="B175" s="64" t="s">
        <v>12</v>
      </c>
      <c r="C175" s="64" t="s">
        <v>26</v>
      </c>
      <c r="D175" s="64" t="s">
        <v>40</v>
      </c>
      <c r="E175" s="89" t="s">
        <v>93</v>
      </c>
      <c r="F175" s="64">
        <v>1</v>
      </c>
      <c r="G175" s="65">
        <v>6645</v>
      </c>
      <c r="H175" s="64"/>
      <c r="I175" s="65"/>
      <c r="J175" s="65"/>
      <c r="K175" s="65">
        <v>6645</v>
      </c>
      <c r="L175" s="66">
        <v>20230921</v>
      </c>
    </row>
    <row r="178" spans="1:12" ht="15.75" thickBot="1" x14ac:dyDescent="0.3">
      <c r="A178" s="97" t="s">
        <v>0</v>
      </c>
      <c r="B178" s="98" t="s">
        <v>1</v>
      </c>
      <c r="C178" s="98" t="s">
        <v>2</v>
      </c>
      <c r="D178" s="98" t="s">
        <v>3</v>
      </c>
      <c r="E178" s="99" t="s">
        <v>4</v>
      </c>
      <c r="F178" s="98"/>
      <c r="G178" s="100" t="s">
        <v>6</v>
      </c>
      <c r="H178" s="98" t="s">
        <v>7</v>
      </c>
      <c r="I178" s="100" t="s">
        <v>8</v>
      </c>
      <c r="J178" s="100" t="s">
        <v>9</v>
      </c>
      <c r="K178" s="100" t="s">
        <v>10</v>
      </c>
      <c r="L178" s="101" t="s">
        <v>5</v>
      </c>
    </row>
    <row r="179" spans="1:12" x14ac:dyDescent="0.25">
      <c r="A179" s="57" t="s">
        <v>223</v>
      </c>
      <c r="B179" s="58" t="s">
        <v>12</v>
      </c>
      <c r="C179" s="58" t="s">
        <v>74</v>
      </c>
      <c r="D179" s="58" t="s">
        <v>34</v>
      </c>
      <c r="E179" s="88" t="s">
        <v>62</v>
      </c>
      <c r="F179" s="58">
        <v>1</v>
      </c>
      <c r="G179" s="59">
        <v>6645</v>
      </c>
      <c r="H179" s="58"/>
      <c r="I179" s="59"/>
      <c r="J179" s="59"/>
      <c r="K179" s="59">
        <v>6645</v>
      </c>
      <c r="L179" s="60">
        <v>20231002</v>
      </c>
    </row>
    <row r="180" spans="1:12" x14ac:dyDescent="0.25">
      <c r="A180" s="61" t="s">
        <v>222</v>
      </c>
      <c r="B180" s="49" t="s">
        <v>12</v>
      </c>
      <c r="C180" s="49" t="s">
        <v>26</v>
      </c>
      <c r="D180" s="49" t="s">
        <v>40</v>
      </c>
      <c r="E180" s="84">
        <v>7949550</v>
      </c>
      <c r="F180" s="49">
        <v>1</v>
      </c>
      <c r="G180" s="50">
        <v>6645</v>
      </c>
      <c r="H180" s="49"/>
      <c r="I180" s="50"/>
      <c r="J180" s="50"/>
      <c r="K180" s="50">
        <v>6645</v>
      </c>
      <c r="L180" s="62">
        <v>20231017</v>
      </c>
    </row>
    <row r="181" spans="1:12" ht="15.75" thickBot="1" x14ac:dyDescent="0.3">
      <c r="A181" s="63" t="s">
        <v>221</v>
      </c>
      <c r="B181" s="64" t="s">
        <v>12</v>
      </c>
      <c r="C181" s="64" t="s">
        <v>33</v>
      </c>
      <c r="D181" s="64" t="s">
        <v>34</v>
      </c>
      <c r="E181" s="89" t="s">
        <v>192</v>
      </c>
      <c r="F181" s="64">
        <v>1</v>
      </c>
      <c r="G181" s="65">
        <v>6645</v>
      </c>
      <c r="H181" s="64"/>
      <c r="I181" s="65"/>
      <c r="J181" s="65"/>
      <c r="K181" s="65">
        <v>6645</v>
      </c>
      <c r="L181" s="66">
        <v>20231030</v>
      </c>
    </row>
    <row r="184" spans="1:12" ht="15.75" thickBot="1" x14ac:dyDescent="0.3">
      <c r="A184" s="97" t="s">
        <v>0</v>
      </c>
      <c r="B184" s="98" t="s">
        <v>1</v>
      </c>
      <c r="C184" s="98" t="s">
        <v>2</v>
      </c>
      <c r="D184" s="98" t="s">
        <v>3</v>
      </c>
      <c r="E184" s="99" t="s">
        <v>4</v>
      </c>
      <c r="F184" s="98"/>
      <c r="G184" s="100" t="s">
        <v>6</v>
      </c>
      <c r="H184" s="98" t="s">
        <v>7</v>
      </c>
      <c r="I184" s="100" t="s">
        <v>8</v>
      </c>
      <c r="J184" s="100" t="s">
        <v>9</v>
      </c>
      <c r="K184" s="100" t="s">
        <v>10</v>
      </c>
      <c r="L184" s="101" t="s">
        <v>5</v>
      </c>
    </row>
    <row r="185" spans="1:12" x14ac:dyDescent="0.25">
      <c r="A185" s="57" t="s">
        <v>225</v>
      </c>
      <c r="B185" s="58" t="s">
        <v>12</v>
      </c>
      <c r="C185" s="58" t="s">
        <v>33</v>
      </c>
      <c r="D185" s="58" t="s">
        <v>34</v>
      </c>
      <c r="E185" s="88" t="s">
        <v>192</v>
      </c>
      <c r="F185" s="58">
        <v>1</v>
      </c>
      <c r="G185" s="59">
        <v>8742</v>
      </c>
      <c r="H185" s="58"/>
      <c r="I185" s="59"/>
      <c r="J185" s="59"/>
      <c r="K185" s="59">
        <v>8742</v>
      </c>
      <c r="L185" s="60">
        <v>20231205</v>
      </c>
    </row>
    <row r="186" spans="1:12" ht="15.75" thickBot="1" x14ac:dyDescent="0.3">
      <c r="A186" s="63" t="s">
        <v>224</v>
      </c>
      <c r="B186" s="64" t="s">
        <v>12</v>
      </c>
      <c r="C186" s="64" t="s">
        <v>26</v>
      </c>
      <c r="D186" s="64" t="s">
        <v>40</v>
      </c>
      <c r="E186" s="89">
        <v>7949550</v>
      </c>
      <c r="F186" s="64">
        <v>1</v>
      </c>
      <c r="G186" s="65">
        <v>11845</v>
      </c>
      <c r="H186" s="64"/>
      <c r="I186" s="65"/>
      <c r="J186" s="65"/>
      <c r="K186" s="65">
        <v>11845</v>
      </c>
      <c r="L186" s="66">
        <v>20231214</v>
      </c>
    </row>
    <row r="188" spans="1:12" ht="15.75" thickBot="1" x14ac:dyDescent="0.3">
      <c r="A188" s="97" t="s">
        <v>0</v>
      </c>
      <c r="B188" s="98" t="s">
        <v>1</v>
      </c>
      <c r="C188" s="98" t="s">
        <v>2</v>
      </c>
      <c r="D188" s="98" t="s">
        <v>3</v>
      </c>
      <c r="E188" s="99" t="s">
        <v>4</v>
      </c>
      <c r="F188" s="98"/>
      <c r="G188" s="100" t="s">
        <v>6</v>
      </c>
      <c r="H188" s="98" t="s">
        <v>7</v>
      </c>
      <c r="I188" s="100" t="s">
        <v>8</v>
      </c>
      <c r="J188" s="100" t="s">
        <v>9</v>
      </c>
      <c r="K188" s="100" t="s">
        <v>10</v>
      </c>
      <c r="L188" s="101" t="s">
        <v>5</v>
      </c>
    </row>
    <row r="189" spans="1:12" x14ac:dyDescent="0.25">
      <c r="A189" s="57" t="s">
        <v>256</v>
      </c>
      <c r="B189" s="58" t="s">
        <v>12</v>
      </c>
      <c r="C189" s="58" t="s">
        <v>100</v>
      </c>
      <c r="D189" s="58" t="s">
        <v>203</v>
      </c>
      <c r="E189" s="88" t="s">
        <v>101</v>
      </c>
      <c r="F189" s="58">
        <v>1</v>
      </c>
      <c r="G189" s="59">
        <v>12046</v>
      </c>
      <c r="H189" s="58"/>
      <c r="I189" s="59"/>
      <c r="J189" s="59"/>
      <c r="K189" s="59">
        <f>J189+G189</f>
        <v>12046</v>
      </c>
      <c r="L189" s="60">
        <v>20240102</v>
      </c>
    </row>
    <row r="190" spans="1:12" ht="15.75" thickBot="1" x14ac:dyDescent="0.3">
      <c r="A190" s="63" t="s">
        <v>255</v>
      </c>
      <c r="B190" s="64" t="s">
        <v>12</v>
      </c>
      <c r="C190" s="64" t="s">
        <v>100</v>
      </c>
      <c r="D190" s="64" t="s">
        <v>203</v>
      </c>
      <c r="E190" s="89" t="s">
        <v>101</v>
      </c>
      <c r="F190" s="64">
        <v>1</v>
      </c>
      <c r="G190" s="65">
        <v>16262</v>
      </c>
      <c r="H190" s="64"/>
      <c r="I190" s="65"/>
      <c r="J190" s="65"/>
      <c r="K190" s="65">
        <f>J190+G190</f>
        <v>16262</v>
      </c>
      <c r="L190" s="66">
        <v>20240117</v>
      </c>
    </row>
    <row r="191" spans="1:12" x14ac:dyDescent="0.25">
      <c r="A191" s="90"/>
      <c r="B191" s="91"/>
      <c r="C191" s="91"/>
      <c r="D191" s="91"/>
      <c r="E191" s="92"/>
      <c r="F191" s="91"/>
      <c r="G191" s="93"/>
      <c r="H191" s="91"/>
      <c r="I191" s="93"/>
      <c r="J191" s="93"/>
      <c r="K191" s="93"/>
      <c r="L191" s="94"/>
    </row>
    <row r="192" spans="1:12" ht="15.75" thickBot="1" x14ac:dyDescent="0.3">
      <c r="A192" s="97"/>
      <c r="B192" s="98"/>
      <c r="C192" s="98"/>
      <c r="D192" s="98"/>
      <c r="E192" s="99"/>
      <c r="F192" s="98"/>
      <c r="G192" s="100"/>
      <c r="H192" s="98"/>
      <c r="I192" s="100"/>
      <c r="J192" s="100"/>
      <c r="K192" s="100"/>
      <c r="L192" s="101"/>
    </row>
    <row r="193" spans="1:12" x14ac:dyDescent="0.25">
      <c r="A193" s="57" t="s">
        <v>240</v>
      </c>
      <c r="B193" s="58" t="s">
        <v>11</v>
      </c>
      <c r="C193" s="58" t="s">
        <v>74</v>
      </c>
      <c r="D193" s="58" t="s">
        <v>34</v>
      </c>
      <c r="E193" s="88" t="s">
        <v>58</v>
      </c>
      <c r="F193" s="58">
        <v>1</v>
      </c>
      <c r="G193" s="59">
        <v>8132</v>
      </c>
      <c r="H193" s="58"/>
      <c r="I193" s="59"/>
      <c r="J193" s="59"/>
      <c r="K193" s="59">
        <f t="shared" ref="K193:K215" si="3">J193+G193</f>
        <v>8132</v>
      </c>
      <c r="L193" s="60">
        <v>20240118</v>
      </c>
    </row>
    <row r="194" spans="1:12" x14ac:dyDescent="0.25">
      <c r="A194" s="61" t="s">
        <v>244</v>
      </c>
      <c r="B194" s="49" t="s">
        <v>11</v>
      </c>
      <c r="C194" s="49" t="s">
        <v>74</v>
      </c>
      <c r="D194" s="49" t="s">
        <v>34</v>
      </c>
      <c r="E194" s="84" t="s">
        <v>48</v>
      </c>
      <c r="F194" s="49">
        <v>1</v>
      </c>
      <c r="G194" s="50">
        <v>8132</v>
      </c>
      <c r="H194" s="49"/>
      <c r="I194" s="50"/>
      <c r="J194" s="50"/>
      <c r="K194" s="50">
        <f t="shared" si="3"/>
        <v>8132</v>
      </c>
      <c r="L194" s="62">
        <v>20240118</v>
      </c>
    </row>
    <row r="195" spans="1:12" x14ac:dyDescent="0.25">
      <c r="A195" s="61" t="s">
        <v>245</v>
      </c>
      <c r="B195" s="49" t="s">
        <v>11</v>
      </c>
      <c r="C195" s="49" t="s">
        <v>74</v>
      </c>
      <c r="D195" s="49" t="s">
        <v>34</v>
      </c>
      <c r="E195" s="84" t="s">
        <v>50</v>
      </c>
      <c r="F195" s="49">
        <v>1</v>
      </c>
      <c r="G195" s="50">
        <v>8132</v>
      </c>
      <c r="H195" s="49"/>
      <c r="I195" s="50"/>
      <c r="J195" s="50"/>
      <c r="K195" s="50">
        <f t="shared" si="3"/>
        <v>8132</v>
      </c>
      <c r="L195" s="62">
        <v>20240118</v>
      </c>
    </row>
    <row r="196" spans="1:12" x14ac:dyDescent="0.25">
      <c r="A196" s="61" t="s">
        <v>246</v>
      </c>
      <c r="B196" s="49" t="s">
        <v>11</v>
      </c>
      <c r="C196" s="49" t="s">
        <v>74</v>
      </c>
      <c r="D196" s="49" t="s">
        <v>34</v>
      </c>
      <c r="E196" s="84" t="s">
        <v>54</v>
      </c>
      <c r="F196" s="49">
        <v>1</v>
      </c>
      <c r="G196" s="50">
        <v>8132</v>
      </c>
      <c r="H196" s="49"/>
      <c r="I196" s="50"/>
      <c r="J196" s="50"/>
      <c r="K196" s="50">
        <f t="shared" si="3"/>
        <v>8132</v>
      </c>
      <c r="L196" s="62">
        <v>20240118</v>
      </c>
    </row>
    <row r="197" spans="1:12" x14ac:dyDescent="0.25">
      <c r="A197" s="61" t="s">
        <v>247</v>
      </c>
      <c r="B197" s="49" t="s">
        <v>11</v>
      </c>
      <c r="C197" s="49" t="s">
        <v>74</v>
      </c>
      <c r="D197" s="49" t="s">
        <v>34</v>
      </c>
      <c r="E197" s="84" t="s">
        <v>64</v>
      </c>
      <c r="F197" s="49">
        <v>1</v>
      </c>
      <c r="G197" s="50">
        <v>8132</v>
      </c>
      <c r="H197" s="49"/>
      <c r="I197" s="50"/>
      <c r="J197" s="50"/>
      <c r="K197" s="50">
        <f t="shared" si="3"/>
        <v>8132</v>
      </c>
      <c r="L197" s="62">
        <v>20240118</v>
      </c>
    </row>
    <row r="198" spans="1:12" x14ac:dyDescent="0.25">
      <c r="A198" s="61" t="s">
        <v>248</v>
      </c>
      <c r="B198" s="49" t="s">
        <v>11</v>
      </c>
      <c r="C198" s="49" t="s">
        <v>74</v>
      </c>
      <c r="D198" s="49" t="s">
        <v>34</v>
      </c>
      <c r="E198" s="84" t="s">
        <v>62</v>
      </c>
      <c r="F198" s="49">
        <v>1</v>
      </c>
      <c r="G198" s="50">
        <v>8132</v>
      </c>
      <c r="H198" s="49"/>
      <c r="I198" s="50"/>
      <c r="J198" s="50"/>
      <c r="K198" s="50">
        <f t="shared" si="3"/>
        <v>8132</v>
      </c>
      <c r="L198" s="62">
        <v>20240118</v>
      </c>
    </row>
    <row r="199" spans="1:12" x14ac:dyDescent="0.25">
      <c r="A199" s="61" t="s">
        <v>249</v>
      </c>
      <c r="B199" s="49" t="s">
        <v>11</v>
      </c>
      <c r="C199" s="49" t="s">
        <v>74</v>
      </c>
      <c r="D199" s="49" t="s">
        <v>34</v>
      </c>
      <c r="E199" s="84" t="s">
        <v>56</v>
      </c>
      <c r="F199" s="49">
        <v>1</v>
      </c>
      <c r="G199" s="50">
        <v>8132</v>
      </c>
      <c r="H199" s="49"/>
      <c r="I199" s="50"/>
      <c r="J199" s="50"/>
      <c r="K199" s="50">
        <f t="shared" si="3"/>
        <v>8132</v>
      </c>
      <c r="L199" s="62">
        <v>20240118</v>
      </c>
    </row>
    <row r="200" spans="1:12" x14ac:dyDescent="0.25">
      <c r="A200" s="61" t="s">
        <v>250</v>
      </c>
      <c r="B200" s="49" t="s">
        <v>11</v>
      </c>
      <c r="C200" s="49" t="s">
        <v>74</v>
      </c>
      <c r="D200" s="49" t="s">
        <v>34</v>
      </c>
      <c r="E200" s="84" t="s">
        <v>182</v>
      </c>
      <c r="F200" s="49">
        <v>1</v>
      </c>
      <c r="G200" s="50">
        <v>8132</v>
      </c>
      <c r="H200" s="49"/>
      <c r="I200" s="50"/>
      <c r="J200" s="50"/>
      <c r="K200" s="50">
        <f t="shared" si="3"/>
        <v>8132</v>
      </c>
      <c r="L200" s="62">
        <v>20240118</v>
      </c>
    </row>
    <row r="201" spans="1:12" x14ac:dyDescent="0.25">
      <c r="A201" s="61" t="s">
        <v>251</v>
      </c>
      <c r="B201" s="49" t="s">
        <v>11</v>
      </c>
      <c r="C201" s="49" t="s">
        <v>74</v>
      </c>
      <c r="D201" s="49" t="s">
        <v>34</v>
      </c>
      <c r="E201" s="84" t="s">
        <v>52</v>
      </c>
      <c r="F201" s="49">
        <v>1</v>
      </c>
      <c r="G201" s="50">
        <v>8132</v>
      </c>
      <c r="H201" s="49"/>
      <c r="I201" s="50"/>
      <c r="J201" s="50"/>
      <c r="K201" s="50">
        <f t="shared" si="3"/>
        <v>8132</v>
      </c>
      <c r="L201" s="62">
        <v>20240118</v>
      </c>
    </row>
    <row r="202" spans="1:12" x14ac:dyDescent="0.25">
      <c r="A202" s="61" t="s">
        <v>252</v>
      </c>
      <c r="B202" s="49" t="s">
        <v>11</v>
      </c>
      <c r="C202" s="49" t="s">
        <v>74</v>
      </c>
      <c r="D202" s="49" t="s">
        <v>34</v>
      </c>
      <c r="E202" s="84" t="s">
        <v>60</v>
      </c>
      <c r="F202" s="49">
        <v>1</v>
      </c>
      <c r="G202" s="50">
        <v>8132</v>
      </c>
      <c r="H202" s="49"/>
      <c r="I202" s="50"/>
      <c r="J202" s="50"/>
      <c r="K202" s="50">
        <f t="shared" si="3"/>
        <v>8132</v>
      </c>
      <c r="L202" s="62">
        <v>20240118</v>
      </c>
    </row>
    <row r="203" spans="1:12" x14ac:dyDescent="0.25">
      <c r="A203" s="61" t="s">
        <v>253</v>
      </c>
      <c r="B203" s="49" t="s">
        <v>11</v>
      </c>
      <c r="C203" s="49" t="s">
        <v>74</v>
      </c>
      <c r="D203" s="49" t="s">
        <v>34</v>
      </c>
      <c r="E203" s="84" t="s">
        <v>254</v>
      </c>
      <c r="F203" s="49">
        <v>1</v>
      </c>
      <c r="G203" s="50">
        <v>8132</v>
      </c>
      <c r="H203" s="49"/>
      <c r="I203" s="50"/>
      <c r="J203" s="50"/>
      <c r="K203" s="50">
        <f t="shared" si="3"/>
        <v>8132</v>
      </c>
      <c r="L203" s="62">
        <v>20240118</v>
      </c>
    </row>
    <row r="204" spans="1:12" x14ac:dyDescent="0.25">
      <c r="A204" s="61" t="s">
        <v>241</v>
      </c>
      <c r="B204" s="49" t="s">
        <v>11</v>
      </c>
      <c r="C204" s="49" t="s">
        <v>74</v>
      </c>
      <c r="D204" s="49" t="s">
        <v>242</v>
      </c>
      <c r="E204" s="84" t="s">
        <v>243</v>
      </c>
      <c r="F204" s="49">
        <v>1</v>
      </c>
      <c r="G204" s="50">
        <v>8132</v>
      </c>
      <c r="H204" s="49"/>
      <c r="I204" s="50"/>
      <c r="J204" s="50"/>
      <c r="K204" s="50">
        <f t="shared" si="3"/>
        <v>8132</v>
      </c>
      <c r="L204" s="62">
        <v>20240118</v>
      </c>
    </row>
    <row r="205" spans="1:12" x14ac:dyDescent="0.25">
      <c r="A205" s="61" t="s">
        <v>235</v>
      </c>
      <c r="B205" s="49" t="s">
        <v>11</v>
      </c>
      <c r="C205" s="49" t="s">
        <v>28</v>
      </c>
      <c r="D205" s="49" t="s">
        <v>71</v>
      </c>
      <c r="E205" s="84" t="s">
        <v>72</v>
      </c>
      <c r="F205" s="49">
        <v>1</v>
      </c>
      <c r="G205" s="50">
        <v>8132</v>
      </c>
      <c r="H205" s="49"/>
      <c r="I205" s="50"/>
      <c r="J205" s="50"/>
      <c r="K205" s="50">
        <f t="shared" si="3"/>
        <v>8132</v>
      </c>
      <c r="L205" s="62">
        <v>20240123</v>
      </c>
    </row>
    <row r="206" spans="1:12" x14ac:dyDescent="0.25">
      <c r="A206" s="61" t="s">
        <v>236</v>
      </c>
      <c r="B206" s="49" t="s">
        <v>11</v>
      </c>
      <c r="C206" s="49" t="s">
        <v>103</v>
      </c>
      <c r="D206" s="49" t="s">
        <v>34</v>
      </c>
      <c r="E206" s="84" t="s">
        <v>104</v>
      </c>
      <c r="F206" s="49">
        <v>1</v>
      </c>
      <c r="G206" s="50">
        <v>8132</v>
      </c>
      <c r="H206" s="49"/>
      <c r="I206" s="50"/>
      <c r="J206" s="50"/>
      <c r="K206" s="50">
        <f t="shared" si="3"/>
        <v>8132</v>
      </c>
      <c r="L206" s="62">
        <v>20240123</v>
      </c>
    </row>
    <row r="207" spans="1:12" x14ac:dyDescent="0.25">
      <c r="A207" s="61" t="s">
        <v>237</v>
      </c>
      <c r="B207" s="49" t="s">
        <v>11</v>
      </c>
      <c r="C207" s="49" t="s">
        <v>100</v>
      </c>
      <c r="D207" s="49" t="s">
        <v>203</v>
      </c>
      <c r="E207" s="84" t="s">
        <v>238</v>
      </c>
      <c r="F207" s="49">
        <v>1</v>
      </c>
      <c r="G207" s="50">
        <v>8132</v>
      </c>
      <c r="H207" s="49"/>
      <c r="I207" s="50"/>
      <c r="J207" s="50"/>
      <c r="K207" s="50">
        <f t="shared" si="3"/>
        <v>8132</v>
      </c>
      <c r="L207" s="62">
        <v>20240123</v>
      </c>
    </row>
    <row r="208" spans="1:12" x14ac:dyDescent="0.25">
      <c r="A208" s="61" t="s">
        <v>239</v>
      </c>
      <c r="B208" s="49" t="s">
        <v>11</v>
      </c>
      <c r="C208" s="49" t="s">
        <v>100</v>
      </c>
      <c r="D208" s="49" t="s">
        <v>203</v>
      </c>
      <c r="E208" s="84" t="s">
        <v>101</v>
      </c>
      <c r="F208" s="49">
        <v>1</v>
      </c>
      <c r="G208" s="50">
        <v>8132</v>
      </c>
      <c r="H208" s="49"/>
      <c r="I208" s="50"/>
      <c r="J208" s="50"/>
      <c r="K208" s="50">
        <f t="shared" si="3"/>
        <v>8132</v>
      </c>
      <c r="L208" s="62">
        <v>20240123</v>
      </c>
    </row>
    <row r="209" spans="1:12" x14ac:dyDescent="0.25">
      <c r="A209" s="61" t="s">
        <v>229</v>
      </c>
      <c r="B209" s="49" t="s">
        <v>11</v>
      </c>
      <c r="C209" s="49" t="s">
        <v>33</v>
      </c>
      <c r="D209" s="49" t="s">
        <v>34</v>
      </c>
      <c r="E209" s="84" t="s">
        <v>162</v>
      </c>
      <c r="F209" s="49">
        <v>1</v>
      </c>
      <c r="G209" s="50">
        <v>8132</v>
      </c>
      <c r="H209" s="49"/>
      <c r="I209" s="50"/>
      <c r="J209" s="50"/>
      <c r="K209" s="50">
        <f t="shared" si="3"/>
        <v>8132</v>
      </c>
      <c r="L209" s="62">
        <v>20240123</v>
      </c>
    </row>
    <row r="210" spans="1:12" x14ac:dyDescent="0.25">
      <c r="A210" s="61" t="s">
        <v>230</v>
      </c>
      <c r="B210" s="49" t="s">
        <v>11</v>
      </c>
      <c r="C210" s="49" t="s">
        <v>33</v>
      </c>
      <c r="D210" s="49" t="s">
        <v>34</v>
      </c>
      <c r="E210" s="84" t="s">
        <v>164</v>
      </c>
      <c r="F210" s="49">
        <v>1</v>
      </c>
      <c r="G210" s="50">
        <v>8132</v>
      </c>
      <c r="H210" s="49"/>
      <c r="I210" s="50"/>
      <c r="J210" s="50"/>
      <c r="K210" s="50">
        <f t="shared" si="3"/>
        <v>8132</v>
      </c>
      <c r="L210" s="62">
        <v>20240123</v>
      </c>
    </row>
    <row r="211" spans="1:12" x14ac:dyDescent="0.25">
      <c r="A211" s="61" t="s">
        <v>231</v>
      </c>
      <c r="B211" s="49" t="s">
        <v>11</v>
      </c>
      <c r="C211" s="49" t="s">
        <v>33</v>
      </c>
      <c r="D211" s="49" t="s">
        <v>34</v>
      </c>
      <c r="E211" s="84" t="s">
        <v>232</v>
      </c>
      <c r="F211" s="49">
        <v>1</v>
      </c>
      <c r="G211" s="50">
        <v>8132</v>
      </c>
      <c r="H211" s="49"/>
      <c r="I211" s="50"/>
      <c r="J211" s="50"/>
      <c r="K211" s="50">
        <f t="shared" si="3"/>
        <v>8132</v>
      </c>
      <c r="L211" s="62">
        <v>20240123</v>
      </c>
    </row>
    <row r="212" spans="1:12" x14ac:dyDescent="0.25">
      <c r="A212" s="61" t="s">
        <v>233</v>
      </c>
      <c r="B212" s="49" t="s">
        <v>11</v>
      </c>
      <c r="C212" s="49" t="s">
        <v>33</v>
      </c>
      <c r="D212" s="49" t="s">
        <v>34</v>
      </c>
      <c r="E212" s="84" t="s">
        <v>234</v>
      </c>
      <c r="F212" s="49">
        <v>1</v>
      </c>
      <c r="G212" s="50">
        <v>8132</v>
      </c>
      <c r="H212" s="49"/>
      <c r="I212" s="50"/>
      <c r="J212" s="50"/>
      <c r="K212" s="50">
        <f t="shared" si="3"/>
        <v>8132</v>
      </c>
      <c r="L212" s="62">
        <v>20240123</v>
      </c>
    </row>
    <row r="213" spans="1:12" x14ac:dyDescent="0.25">
      <c r="A213" s="61" t="s">
        <v>226</v>
      </c>
      <c r="B213" s="49" t="s">
        <v>11</v>
      </c>
      <c r="C213" s="49" t="s">
        <v>26</v>
      </c>
      <c r="D213" s="49" t="s">
        <v>40</v>
      </c>
      <c r="E213" s="84" t="s">
        <v>107</v>
      </c>
      <c r="F213" s="49">
        <v>1</v>
      </c>
      <c r="G213" s="50">
        <v>8132</v>
      </c>
      <c r="H213" s="49"/>
      <c r="I213" s="50"/>
      <c r="J213" s="50"/>
      <c r="K213" s="50">
        <f t="shared" si="3"/>
        <v>8132</v>
      </c>
      <c r="L213" s="62">
        <v>20240124</v>
      </c>
    </row>
    <row r="214" spans="1:12" x14ac:dyDescent="0.25">
      <c r="A214" s="61" t="s">
        <v>227</v>
      </c>
      <c r="B214" s="49" t="s">
        <v>11</v>
      </c>
      <c r="C214" s="49" t="s">
        <v>26</v>
      </c>
      <c r="D214" s="49" t="s">
        <v>40</v>
      </c>
      <c r="E214" s="84" t="s">
        <v>157</v>
      </c>
      <c r="F214" s="49">
        <v>1</v>
      </c>
      <c r="G214" s="50">
        <v>8132</v>
      </c>
      <c r="H214" s="49"/>
      <c r="I214" s="50"/>
      <c r="J214" s="50"/>
      <c r="K214" s="50">
        <f t="shared" si="3"/>
        <v>8132</v>
      </c>
      <c r="L214" s="62">
        <v>20240124</v>
      </c>
    </row>
    <row r="215" spans="1:12" ht="15.75" thickBot="1" x14ac:dyDescent="0.3">
      <c r="A215" s="63" t="s">
        <v>228</v>
      </c>
      <c r="B215" s="64" t="s">
        <v>11</v>
      </c>
      <c r="C215" s="64" t="s">
        <v>26</v>
      </c>
      <c r="D215" s="64" t="s">
        <v>40</v>
      </c>
      <c r="E215" s="89">
        <v>7949550</v>
      </c>
      <c r="F215" s="64">
        <v>1</v>
      </c>
      <c r="G215" s="65">
        <v>8132</v>
      </c>
      <c r="H215" s="64"/>
      <c r="I215" s="65"/>
      <c r="J215" s="65"/>
      <c r="K215" s="65">
        <f t="shared" si="3"/>
        <v>8132</v>
      </c>
      <c r="L215" s="66">
        <v>20240124</v>
      </c>
    </row>
    <row r="217" spans="1:12" ht="15.75" thickBot="1" x14ac:dyDescent="0.3">
      <c r="A217" s="97" t="s">
        <v>0</v>
      </c>
      <c r="B217" s="98" t="s">
        <v>1</v>
      </c>
      <c r="C217" s="98" t="s">
        <v>2</v>
      </c>
      <c r="D217" s="98" t="s">
        <v>3</v>
      </c>
      <c r="E217" s="99" t="s">
        <v>4</v>
      </c>
      <c r="F217" s="98"/>
      <c r="G217" s="100" t="s">
        <v>6</v>
      </c>
      <c r="H217" s="98" t="s">
        <v>7</v>
      </c>
      <c r="I217" s="100" t="s">
        <v>8</v>
      </c>
      <c r="J217" s="100" t="s">
        <v>9</v>
      </c>
      <c r="K217" s="100" t="s">
        <v>10</v>
      </c>
      <c r="L217" s="101" t="s">
        <v>5</v>
      </c>
    </row>
    <row r="218" spans="1:12" x14ac:dyDescent="0.25">
      <c r="A218" s="57" t="s">
        <v>258</v>
      </c>
      <c r="B218" s="58" t="s">
        <v>11</v>
      </c>
      <c r="C218" s="58" t="s">
        <v>74</v>
      </c>
      <c r="D218" s="58" t="s">
        <v>34</v>
      </c>
      <c r="E218" s="88" t="s">
        <v>254</v>
      </c>
      <c r="F218" s="58">
        <v>1</v>
      </c>
      <c r="G218" s="59">
        <v>3000</v>
      </c>
      <c r="H218" s="58"/>
      <c r="I218" s="59"/>
      <c r="J218" s="59"/>
      <c r="K218" s="59">
        <v>3000</v>
      </c>
      <c r="L218" s="60">
        <v>20230801</v>
      </c>
    </row>
    <row r="219" spans="1:12" ht="15.75" thickBot="1" x14ac:dyDescent="0.3">
      <c r="A219" s="63" t="s">
        <v>257</v>
      </c>
      <c r="B219" s="64" t="s">
        <v>12</v>
      </c>
      <c r="C219" s="64" t="s">
        <v>28</v>
      </c>
      <c r="D219" s="64" t="s">
        <v>71</v>
      </c>
      <c r="E219" s="89" t="s">
        <v>72</v>
      </c>
      <c r="F219" s="64">
        <v>1</v>
      </c>
      <c r="G219" s="65">
        <v>27840</v>
      </c>
      <c r="H219" s="64"/>
      <c r="I219" s="65"/>
      <c r="J219" s="65"/>
      <c r="K219" s="65">
        <v>27840</v>
      </c>
      <c r="L219" s="66">
        <v>20240408</v>
      </c>
    </row>
    <row r="221" spans="1:12" ht="15.75" thickBot="1" x14ac:dyDescent="0.3">
      <c r="A221" s="97" t="s">
        <v>0</v>
      </c>
      <c r="B221" s="98" t="s">
        <v>1</v>
      </c>
      <c r="C221" s="98" t="s">
        <v>2</v>
      </c>
      <c r="D221" s="98" t="s">
        <v>3</v>
      </c>
      <c r="E221" s="99" t="s">
        <v>4</v>
      </c>
      <c r="F221" s="98"/>
      <c r="G221" s="100" t="s">
        <v>6</v>
      </c>
      <c r="H221" s="98" t="s">
        <v>7</v>
      </c>
      <c r="I221" s="100" t="s">
        <v>8</v>
      </c>
      <c r="J221" s="100" t="s">
        <v>9</v>
      </c>
      <c r="K221" s="100" t="s">
        <v>10</v>
      </c>
      <c r="L221" s="101" t="s">
        <v>5</v>
      </c>
    </row>
    <row r="222" spans="1:12" ht="15.75" thickBot="1" x14ac:dyDescent="0.3">
      <c r="A222" s="18" t="s">
        <v>282</v>
      </c>
      <c r="B222" s="19" t="s">
        <v>12</v>
      </c>
      <c r="C222" s="19" t="s">
        <v>28</v>
      </c>
      <c r="D222" s="19" t="s">
        <v>71</v>
      </c>
      <c r="E222" s="22" t="s">
        <v>72</v>
      </c>
      <c r="F222" s="19">
        <v>1</v>
      </c>
      <c r="G222" s="95">
        <v>30902</v>
      </c>
      <c r="H222" s="19"/>
      <c r="I222" s="95"/>
      <c r="J222" s="95"/>
      <c r="K222" s="95">
        <v>30902</v>
      </c>
      <c r="L222" s="96">
        <v>20240515</v>
      </c>
    </row>
    <row r="223" spans="1:12" ht="15.75" thickBot="1" x14ac:dyDescent="0.3">
      <c r="A223" s="102"/>
      <c r="B223" s="103"/>
      <c r="C223" s="103"/>
      <c r="D223" s="103"/>
      <c r="E223" s="104"/>
      <c r="F223" s="103"/>
      <c r="G223" s="105"/>
      <c r="H223" s="103"/>
      <c r="I223" s="105"/>
      <c r="J223" s="105"/>
      <c r="K223" s="105"/>
      <c r="L223" s="106"/>
    </row>
    <row r="224" spans="1:12" x14ac:dyDescent="0.25">
      <c r="A224" s="57" t="s">
        <v>268</v>
      </c>
      <c r="B224" s="58" t="s">
        <v>11</v>
      </c>
      <c r="C224" s="58" t="s">
        <v>74</v>
      </c>
      <c r="D224" s="58" t="s">
        <v>34</v>
      </c>
      <c r="E224" s="88" t="s">
        <v>48</v>
      </c>
      <c r="F224" s="58">
        <v>1</v>
      </c>
      <c r="G224" s="59">
        <v>15453</v>
      </c>
      <c r="H224" s="58"/>
      <c r="I224" s="59"/>
      <c r="J224" s="59"/>
      <c r="K224" s="59">
        <v>15453</v>
      </c>
      <c r="L224" s="60">
        <v>20240513</v>
      </c>
    </row>
    <row r="225" spans="1:12" x14ac:dyDescent="0.25">
      <c r="A225" s="61" t="s">
        <v>269</v>
      </c>
      <c r="B225" s="49" t="s">
        <v>11</v>
      </c>
      <c r="C225" s="49" t="s">
        <v>74</v>
      </c>
      <c r="D225" s="49" t="s">
        <v>34</v>
      </c>
      <c r="E225" s="84" t="s">
        <v>50</v>
      </c>
      <c r="F225" s="49">
        <v>1</v>
      </c>
      <c r="G225" s="50">
        <v>15453</v>
      </c>
      <c r="H225" s="49"/>
      <c r="I225" s="50"/>
      <c r="J225" s="50"/>
      <c r="K225" s="50">
        <v>15453</v>
      </c>
      <c r="L225" s="62">
        <v>20240513</v>
      </c>
    </row>
    <row r="226" spans="1:12" x14ac:dyDescent="0.25">
      <c r="A226" s="61" t="s">
        <v>270</v>
      </c>
      <c r="B226" s="49" t="s">
        <v>11</v>
      </c>
      <c r="C226" s="49" t="s">
        <v>74</v>
      </c>
      <c r="D226" s="49" t="s">
        <v>34</v>
      </c>
      <c r="E226" s="84" t="s">
        <v>54</v>
      </c>
      <c r="F226" s="49">
        <v>1</v>
      </c>
      <c r="G226" s="50">
        <v>15453</v>
      </c>
      <c r="H226" s="49"/>
      <c r="I226" s="50"/>
      <c r="J226" s="50"/>
      <c r="K226" s="50">
        <v>15453</v>
      </c>
      <c r="L226" s="62">
        <v>20240513</v>
      </c>
    </row>
    <row r="227" spans="1:12" x14ac:dyDescent="0.25">
      <c r="A227" s="61" t="s">
        <v>271</v>
      </c>
      <c r="B227" s="49" t="s">
        <v>11</v>
      </c>
      <c r="C227" s="49" t="s">
        <v>74</v>
      </c>
      <c r="D227" s="49" t="s">
        <v>34</v>
      </c>
      <c r="E227" s="84" t="s">
        <v>64</v>
      </c>
      <c r="F227" s="49">
        <v>1</v>
      </c>
      <c r="G227" s="50">
        <v>15453</v>
      </c>
      <c r="H227" s="49"/>
      <c r="I227" s="50"/>
      <c r="J227" s="50"/>
      <c r="K227" s="50">
        <v>15453</v>
      </c>
      <c r="L227" s="62">
        <v>20240513</v>
      </c>
    </row>
    <row r="228" spans="1:12" x14ac:dyDescent="0.25">
      <c r="A228" s="61" t="s">
        <v>272</v>
      </c>
      <c r="B228" s="49" t="s">
        <v>11</v>
      </c>
      <c r="C228" s="49" t="s">
        <v>74</v>
      </c>
      <c r="D228" s="49" t="s">
        <v>34</v>
      </c>
      <c r="E228" s="84" t="s">
        <v>62</v>
      </c>
      <c r="F228" s="49">
        <v>1</v>
      </c>
      <c r="G228" s="50">
        <v>15453</v>
      </c>
      <c r="H228" s="49"/>
      <c r="I228" s="50"/>
      <c r="J228" s="50"/>
      <c r="K228" s="50">
        <v>15453</v>
      </c>
      <c r="L228" s="62">
        <v>20240513</v>
      </c>
    </row>
    <row r="229" spans="1:12" x14ac:dyDescent="0.25">
      <c r="A229" s="61" t="s">
        <v>273</v>
      </c>
      <c r="B229" s="49" t="s">
        <v>11</v>
      </c>
      <c r="C229" s="49" t="s">
        <v>74</v>
      </c>
      <c r="D229" s="49" t="s">
        <v>34</v>
      </c>
      <c r="E229" s="84" t="s">
        <v>56</v>
      </c>
      <c r="F229" s="49">
        <v>1</v>
      </c>
      <c r="G229" s="50">
        <v>15453</v>
      </c>
      <c r="H229" s="49"/>
      <c r="I229" s="50"/>
      <c r="J229" s="50"/>
      <c r="K229" s="50">
        <v>15453</v>
      </c>
      <c r="L229" s="62">
        <v>20240513</v>
      </c>
    </row>
    <row r="230" spans="1:12" x14ac:dyDescent="0.25">
      <c r="A230" s="61" t="s">
        <v>274</v>
      </c>
      <c r="B230" s="49" t="s">
        <v>11</v>
      </c>
      <c r="C230" s="49" t="s">
        <v>74</v>
      </c>
      <c r="D230" s="49" t="s">
        <v>34</v>
      </c>
      <c r="E230" s="84" t="s">
        <v>182</v>
      </c>
      <c r="F230" s="49">
        <v>1</v>
      </c>
      <c r="G230" s="50">
        <v>15453</v>
      </c>
      <c r="H230" s="49"/>
      <c r="I230" s="50"/>
      <c r="J230" s="50"/>
      <c r="K230" s="50">
        <v>15453</v>
      </c>
      <c r="L230" s="62">
        <v>20240513</v>
      </c>
    </row>
    <row r="231" spans="1:12" x14ac:dyDescent="0.25">
      <c r="A231" s="61" t="s">
        <v>275</v>
      </c>
      <c r="B231" s="49" t="s">
        <v>11</v>
      </c>
      <c r="C231" s="49" t="s">
        <v>74</v>
      </c>
      <c r="D231" s="49" t="s">
        <v>34</v>
      </c>
      <c r="E231" s="84" t="s">
        <v>58</v>
      </c>
      <c r="F231" s="49">
        <v>1</v>
      </c>
      <c r="G231" s="50">
        <v>15453</v>
      </c>
      <c r="H231" s="49"/>
      <c r="I231" s="50"/>
      <c r="J231" s="50"/>
      <c r="K231" s="50">
        <v>15453</v>
      </c>
      <c r="L231" s="62">
        <v>20240513</v>
      </c>
    </row>
    <row r="232" spans="1:12" x14ac:dyDescent="0.25">
      <c r="A232" s="61" t="s">
        <v>276</v>
      </c>
      <c r="B232" s="49" t="s">
        <v>11</v>
      </c>
      <c r="C232" s="49" t="s">
        <v>74</v>
      </c>
      <c r="D232" s="49" t="s">
        <v>34</v>
      </c>
      <c r="E232" s="84" t="s">
        <v>243</v>
      </c>
      <c r="F232" s="49">
        <v>1</v>
      </c>
      <c r="G232" s="50">
        <v>15453</v>
      </c>
      <c r="H232" s="49"/>
      <c r="I232" s="50"/>
      <c r="J232" s="50"/>
      <c r="K232" s="50">
        <v>15453</v>
      </c>
      <c r="L232" s="62">
        <v>20240513</v>
      </c>
    </row>
    <row r="233" spans="1:12" x14ac:dyDescent="0.25">
      <c r="A233" s="61" t="s">
        <v>277</v>
      </c>
      <c r="B233" s="49" t="s">
        <v>11</v>
      </c>
      <c r="C233" s="49" t="s">
        <v>74</v>
      </c>
      <c r="D233" s="49" t="s">
        <v>34</v>
      </c>
      <c r="E233" s="84" t="s">
        <v>52</v>
      </c>
      <c r="F233" s="49">
        <v>1</v>
      </c>
      <c r="G233" s="50">
        <v>15453</v>
      </c>
      <c r="H233" s="49"/>
      <c r="I233" s="50"/>
      <c r="J233" s="50"/>
      <c r="K233" s="50">
        <v>15453</v>
      </c>
      <c r="L233" s="62">
        <v>20240513</v>
      </c>
    </row>
    <row r="234" spans="1:12" x14ac:dyDescent="0.25">
      <c r="A234" s="61" t="s">
        <v>278</v>
      </c>
      <c r="B234" s="49" t="s">
        <v>11</v>
      </c>
      <c r="C234" s="49" t="s">
        <v>74</v>
      </c>
      <c r="D234" s="49" t="s">
        <v>34</v>
      </c>
      <c r="E234" s="84" t="s">
        <v>60</v>
      </c>
      <c r="F234" s="49">
        <v>1</v>
      </c>
      <c r="G234" s="50">
        <v>15453</v>
      </c>
      <c r="H234" s="49"/>
      <c r="I234" s="50"/>
      <c r="J234" s="50"/>
      <c r="K234" s="50">
        <v>15453</v>
      </c>
      <c r="L234" s="62">
        <v>20240513</v>
      </c>
    </row>
    <row r="235" spans="1:12" x14ac:dyDescent="0.25">
      <c r="A235" s="61" t="s">
        <v>279</v>
      </c>
      <c r="B235" s="49" t="s">
        <v>11</v>
      </c>
      <c r="C235" s="49" t="s">
        <v>74</v>
      </c>
      <c r="D235" s="49" t="s">
        <v>34</v>
      </c>
      <c r="E235" s="84" t="s">
        <v>254</v>
      </c>
      <c r="F235" s="49">
        <v>1</v>
      </c>
      <c r="G235" s="50">
        <v>15453</v>
      </c>
      <c r="H235" s="49"/>
      <c r="I235" s="50"/>
      <c r="J235" s="50"/>
      <c r="K235" s="50">
        <v>15453</v>
      </c>
      <c r="L235" s="62">
        <v>20240513</v>
      </c>
    </row>
    <row r="236" spans="1:12" x14ac:dyDescent="0.25">
      <c r="A236" s="61" t="s">
        <v>280</v>
      </c>
      <c r="B236" s="49" t="s">
        <v>11</v>
      </c>
      <c r="C236" s="49" t="s">
        <v>33</v>
      </c>
      <c r="D236" s="49" t="s">
        <v>34</v>
      </c>
      <c r="E236" s="84" t="s">
        <v>162</v>
      </c>
      <c r="F236" s="49">
        <v>1</v>
      </c>
      <c r="G236" s="50">
        <v>15453</v>
      </c>
      <c r="H236" s="49"/>
      <c r="I236" s="50"/>
      <c r="J236" s="50"/>
      <c r="K236" s="50">
        <v>15453</v>
      </c>
      <c r="L236" s="62">
        <v>20240513</v>
      </c>
    </row>
    <row r="237" spans="1:12" x14ac:dyDescent="0.25">
      <c r="A237" s="61" t="s">
        <v>281</v>
      </c>
      <c r="B237" s="49" t="s">
        <v>11</v>
      </c>
      <c r="C237" s="49" t="s">
        <v>33</v>
      </c>
      <c r="D237" s="49" t="s">
        <v>34</v>
      </c>
      <c r="E237" s="84" t="s">
        <v>164</v>
      </c>
      <c r="F237" s="49">
        <v>1</v>
      </c>
      <c r="G237" s="50">
        <v>15453</v>
      </c>
      <c r="H237" s="49"/>
      <c r="I237" s="50"/>
      <c r="J237" s="50"/>
      <c r="K237" s="50">
        <v>15453</v>
      </c>
      <c r="L237" s="62">
        <v>20240513</v>
      </c>
    </row>
    <row r="238" spans="1:12" x14ac:dyDescent="0.25">
      <c r="A238" s="61" t="s">
        <v>264</v>
      </c>
      <c r="B238" s="49" t="s">
        <v>11</v>
      </c>
      <c r="C238" s="49" t="s">
        <v>26</v>
      </c>
      <c r="D238" s="49" t="s">
        <v>40</v>
      </c>
      <c r="E238" s="84">
        <v>7947322</v>
      </c>
      <c r="F238" s="49">
        <v>1</v>
      </c>
      <c r="G238" s="50">
        <v>15453</v>
      </c>
      <c r="H238" s="49"/>
      <c r="I238" s="50"/>
      <c r="J238" s="50"/>
      <c r="K238" s="50">
        <v>15453</v>
      </c>
      <c r="L238" s="62">
        <v>20240515</v>
      </c>
    </row>
    <row r="239" spans="1:12" x14ac:dyDescent="0.25">
      <c r="A239" s="61" t="s">
        <v>265</v>
      </c>
      <c r="B239" s="49" t="s">
        <v>11</v>
      </c>
      <c r="C239" s="49" t="s">
        <v>26</v>
      </c>
      <c r="D239" s="49" t="s">
        <v>40</v>
      </c>
      <c r="E239" s="84" t="s">
        <v>107</v>
      </c>
      <c r="F239" s="49">
        <v>1</v>
      </c>
      <c r="G239" s="50">
        <v>15453</v>
      </c>
      <c r="H239" s="49"/>
      <c r="I239" s="50"/>
      <c r="J239" s="50"/>
      <c r="K239" s="50">
        <v>15453</v>
      </c>
      <c r="L239" s="62">
        <v>20240515</v>
      </c>
    </row>
    <row r="240" spans="1:12" x14ac:dyDescent="0.25">
      <c r="A240" s="61" t="s">
        <v>266</v>
      </c>
      <c r="B240" s="49" t="s">
        <v>11</v>
      </c>
      <c r="C240" s="49" t="s">
        <v>26</v>
      </c>
      <c r="D240" s="49" t="s">
        <v>40</v>
      </c>
      <c r="E240" s="84" t="s">
        <v>157</v>
      </c>
      <c r="F240" s="49">
        <v>1</v>
      </c>
      <c r="G240" s="50">
        <v>15453</v>
      </c>
      <c r="H240" s="49"/>
      <c r="I240" s="50"/>
      <c r="J240" s="50"/>
      <c r="K240" s="50">
        <v>15453</v>
      </c>
      <c r="L240" s="62">
        <v>20240515</v>
      </c>
    </row>
    <row r="241" spans="1:12" x14ac:dyDescent="0.25">
      <c r="A241" s="61" t="s">
        <v>267</v>
      </c>
      <c r="B241" s="49" t="s">
        <v>11</v>
      </c>
      <c r="C241" s="49" t="s">
        <v>26</v>
      </c>
      <c r="D241" s="49" t="s">
        <v>40</v>
      </c>
      <c r="E241" s="84">
        <v>7949550</v>
      </c>
      <c r="F241" s="49">
        <v>1</v>
      </c>
      <c r="G241" s="50">
        <v>15453</v>
      </c>
      <c r="H241" s="49"/>
      <c r="I241" s="50"/>
      <c r="J241" s="50"/>
      <c r="K241" s="50">
        <v>15453</v>
      </c>
      <c r="L241" s="62">
        <v>20240515</v>
      </c>
    </row>
    <row r="242" spans="1:12" x14ac:dyDescent="0.25">
      <c r="A242" s="61" t="s">
        <v>259</v>
      </c>
      <c r="B242" s="49" t="s">
        <v>11</v>
      </c>
      <c r="C242" s="49" t="s">
        <v>130</v>
      </c>
      <c r="D242" s="49" t="s">
        <v>131</v>
      </c>
      <c r="E242" s="84" t="s">
        <v>260</v>
      </c>
      <c r="F242" s="49">
        <v>1</v>
      </c>
      <c r="G242" s="50">
        <v>15453</v>
      </c>
      <c r="H242" s="49"/>
      <c r="I242" s="50"/>
      <c r="J242" s="50"/>
      <c r="K242" s="50">
        <v>15453</v>
      </c>
      <c r="L242" s="62">
        <v>20240522</v>
      </c>
    </row>
    <row r="243" spans="1:12" x14ac:dyDescent="0.25">
      <c r="A243" s="61" t="s">
        <v>261</v>
      </c>
      <c r="B243" s="49" t="s">
        <v>11</v>
      </c>
      <c r="C243" s="49" t="s">
        <v>130</v>
      </c>
      <c r="D243" s="49" t="s">
        <v>131</v>
      </c>
      <c r="E243" s="84" t="s">
        <v>262</v>
      </c>
      <c r="F243" s="49">
        <v>1</v>
      </c>
      <c r="G243" s="50">
        <v>15453</v>
      </c>
      <c r="H243" s="49"/>
      <c r="I243" s="50"/>
      <c r="J243" s="50"/>
      <c r="K243" s="50">
        <v>15453</v>
      </c>
      <c r="L243" s="62">
        <v>20240522</v>
      </c>
    </row>
    <row r="244" spans="1:12" ht="15.75" thickBot="1" x14ac:dyDescent="0.3">
      <c r="A244" s="63" t="s">
        <v>263</v>
      </c>
      <c r="B244" s="64" t="s">
        <v>11</v>
      </c>
      <c r="C244" s="64" t="s">
        <v>130</v>
      </c>
      <c r="D244" s="64" t="s">
        <v>131</v>
      </c>
      <c r="E244" s="89" t="s">
        <v>134</v>
      </c>
      <c r="F244" s="64">
        <v>1</v>
      </c>
      <c r="G244" s="65">
        <v>15453</v>
      </c>
      <c r="H244" s="64"/>
      <c r="I244" s="65"/>
      <c r="J244" s="65"/>
      <c r="K244" s="65">
        <v>15453</v>
      </c>
      <c r="L244" s="66">
        <v>20240522</v>
      </c>
    </row>
    <row r="246" spans="1:12" ht="15.75" thickBot="1" x14ac:dyDescent="0.3">
      <c r="A246" s="97" t="s">
        <v>0</v>
      </c>
      <c r="B246" s="98" t="s">
        <v>1</v>
      </c>
      <c r="C246" s="98" t="s">
        <v>2</v>
      </c>
      <c r="D246" s="98" t="s">
        <v>3</v>
      </c>
      <c r="E246" s="99" t="s">
        <v>4</v>
      </c>
      <c r="F246" s="98"/>
      <c r="G246" s="100" t="s">
        <v>6</v>
      </c>
      <c r="H246" s="98" t="s">
        <v>7</v>
      </c>
      <c r="I246" s="100" t="s">
        <v>8</v>
      </c>
      <c r="J246" s="100" t="s">
        <v>9</v>
      </c>
      <c r="K246" s="100" t="s">
        <v>10</v>
      </c>
      <c r="L246" s="101" t="s">
        <v>5</v>
      </c>
    </row>
    <row r="247" spans="1:12" x14ac:dyDescent="0.25">
      <c r="A247" s="57" t="s">
        <v>283</v>
      </c>
      <c r="B247" s="58" t="s">
        <v>12</v>
      </c>
      <c r="C247" s="58" t="s">
        <v>26</v>
      </c>
      <c r="D247" s="58" t="s">
        <v>40</v>
      </c>
      <c r="E247" s="88">
        <v>7947322</v>
      </c>
      <c r="F247" s="58">
        <v>1</v>
      </c>
      <c r="G247" s="59">
        <v>33621</v>
      </c>
      <c r="H247" s="58"/>
      <c r="I247" s="59"/>
      <c r="J247" s="59"/>
      <c r="K247" s="59">
        <v>33621</v>
      </c>
      <c r="L247" s="60">
        <v>20240612</v>
      </c>
    </row>
    <row r="248" spans="1:12" ht="15.75" thickBot="1" x14ac:dyDescent="0.3">
      <c r="A248" s="63" t="s">
        <v>284</v>
      </c>
      <c r="B248" s="64" t="s">
        <v>12</v>
      </c>
      <c r="C248" s="64" t="s">
        <v>26</v>
      </c>
      <c r="D248" s="64" t="s">
        <v>40</v>
      </c>
      <c r="E248" s="89" t="s">
        <v>107</v>
      </c>
      <c r="F248" s="64">
        <v>1</v>
      </c>
      <c r="G248" s="65">
        <v>33621</v>
      </c>
      <c r="H248" s="64"/>
      <c r="I248" s="65"/>
      <c r="J248" s="65"/>
      <c r="K248" s="65">
        <v>33621</v>
      </c>
      <c r="L248" s="66">
        <v>20240612</v>
      </c>
    </row>
    <row r="251" spans="1:12" ht="15.75" thickBot="1" x14ac:dyDescent="0.3">
      <c r="A251" s="97" t="s">
        <v>0</v>
      </c>
      <c r="B251" s="98" t="s">
        <v>1</v>
      </c>
      <c r="C251" s="98" t="s">
        <v>2</v>
      </c>
      <c r="D251" s="98" t="s">
        <v>3</v>
      </c>
      <c r="E251" s="99" t="s">
        <v>4</v>
      </c>
      <c r="F251" s="98"/>
      <c r="G251" s="100" t="s">
        <v>6</v>
      </c>
      <c r="H251" s="98" t="s">
        <v>7</v>
      </c>
      <c r="I251" s="100" t="s">
        <v>8</v>
      </c>
      <c r="J251" s="100" t="s">
        <v>9</v>
      </c>
      <c r="K251" s="100" t="s">
        <v>10</v>
      </c>
      <c r="L251" s="101" t="s">
        <v>5</v>
      </c>
    </row>
    <row r="252" spans="1:12" ht="15.75" thickBot="1" x14ac:dyDescent="0.3">
      <c r="A252" s="18" t="s">
        <v>296</v>
      </c>
      <c r="B252" s="19" t="s">
        <v>12</v>
      </c>
      <c r="C252" s="19" t="s">
        <v>26</v>
      </c>
      <c r="D252" s="19" t="s">
        <v>40</v>
      </c>
      <c r="E252" s="22">
        <v>7949550</v>
      </c>
      <c r="F252" s="19">
        <v>1</v>
      </c>
      <c r="G252" s="95">
        <v>35033</v>
      </c>
      <c r="H252" s="19"/>
      <c r="I252" s="95"/>
      <c r="J252" s="95"/>
      <c r="K252" s="95">
        <v>35033</v>
      </c>
      <c r="L252" s="96">
        <v>20240827</v>
      </c>
    </row>
    <row r="253" spans="1:12" ht="15.75" thickBot="1" x14ac:dyDescent="0.3">
      <c r="A253" s="102"/>
      <c r="B253" s="103"/>
      <c r="C253" s="103"/>
      <c r="D253" s="103"/>
      <c r="E253" s="104"/>
      <c r="F253" s="103"/>
      <c r="G253" s="105"/>
      <c r="H253" s="103"/>
      <c r="I253" s="105"/>
      <c r="J253" s="105"/>
      <c r="K253" s="105"/>
      <c r="L253" s="106"/>
    </row>
    <row r="254" spans="1:12" x14ac:dyDescent="0.25">
      <c r="A254" s="57" t="s">
        <v>285</v>
      </c>
      <c r="B254" s="58" t="s">
        <v>11</v>
      </c>
      <c r="C254" s="58" t="s">
        <v>74</v>
      </c>
      <c r="D254" s="58" t="s">
        <v>34</v>
      </c>
      <c r="E254" s="88" t="s">
        <v>48</v>
      </c>
      <c r="F254" s="58">
        <v>1</v>
      </c>
      <c r="G254" s="59">
        <v>17519</v>
      </c>
      <c r="H254" s="58"/>
      <c r="I254" s="59"/>
      <c r="J254" s="59"/>
      <c r="K254" s="59">
        <v>17519</v>
      </c>
      <c r="L254" s="60">
        <v>20240828</v>
      </c>
    </row>
    <row r="255" spans="1:12" x14ac:dyDescent="0.25">
      <c r="A255" s="61" t="s">
        <v>286</v>
      </c>
      <c r="B255" s="49" t="s">
        <v>11</v>
      </c>
      <c r="C255" s="49" t="s">
        <v>74</v>
      </c>
      <c r="D255" s="49" t="s">
        <v>34</v>
      </c>
      <c r="E255" s="84" t="s">
        <v>50</v>
      </c>
      <c r="F255" s="49">
        <v>1</v>
      </c>
      <c r="G255" s="50">
        <v>17519</v>
      </c>
      <c r="H255" s="49"/>
      <c r="I255" s="50"/>
      <c r="J255" s="50"/>
      <c r="K255" s="50">
        <v>17519</v>
      </c>
      <c r="L255" s="62">
        <v>20240828</v>
      </c>
    </row>
    <row r="256" spans="1:12" x14ac:dyDescent="0.25">
      <c r="A256" s="61" t="s">
        <v>287</v>
      </c>
      <c r="B256" s="49" t="s">
        <v>11</v>
      </c>
      <c r="C256" s="49" t="s">
        <v>74</v>
      </c>
      <c r="D256" s="49" t="s">
        <v>34</v>
      </c>
      <c r="E256" s="84" t="s">
        <v>54</v>
      </c>
      <c r="F256" s="49">
        <v>1</v>
      </c>
      <c r="G256" s="50">
        <v>17519</v>
      </c>
      <c r="H256" s="49"/>
      <c r="I256" s="50"/>
      <c r="J256" s="50"/>
      <c r="K256" s="50">
        <v>17519</v>
      </c>
      <c r="L256" s="62">
        <v>20240828</v>
      </c>
    </row>
    <row r="257" spans="1:12" x14ac:dyDescent="0.25">
      <c r="A257" s="61" t="s">
        <v>288</v>
      </c>
      <c r="B257" s="49" t="s">
        <v>11</v>
      </c>
      <c r="C257" s="49" t="s">
        <v>74</v>
      </c>
      <c r="D257" s="49" t="s">
        <v>34</v>
      </c>
      <c r="E257" s="84" t="s">
        <v>64</v>
      </c>
      <c r="F257" s="49">
        <v>1</v>
      </c>
      <c r="G257" s="50">
        <v>17519</v>
      </c>
      <c r="H257" s="49"/>
      <c r="I257" s="50"/>
      <c r="J257" s="50"/>
      <c r="K257" s="50">
        <v>17519</v>
      </c>
      <c r="L257" s="62">
        <v>20240828</v>
      </c>
    </row>
    <row r="258" spans="1:12" x14ac:dyDescent="0.25">
      <c r="A258" s="61" t="s">
        <v>289</v>
      </c>
      <c r="B258" s="49" t="s">
        <v>11</v>
      </c>
      <c r="C258" s="49" t="s">
        <v>74</v>
      </c>
      <c r="D258" s="49" t="s">
        <v>34</v>
      </c>
      <c r="E258" s="84" t="s">
        <v>62</v>
      </c>
      <c r="F258" s="49">
        <v>1</v>
      </c>
      <c r="G258" s="50">
        <v>17519</v>
      </c>
      <c r="H258" s="49"/>
      <c r="I258" s="50"/>
      <c r="J258" s="50"/>
      <c r="K258" s="50">
        <v>17519</v>
      </c>
      <c r="L258" s="62">
        <v>20240828</v>
      </c>
    </row>
    <row r="259" spans="1:12" x14ac:dyDescent="0.25">
      <c r="A259" s="61" t="s">
        <v>290</v>
      </c>
      <c r="B259" s="49" t="s">
        <v>11</v>
      </c>
      <c r="C259" s="49" t="s">
        <v>74</v>
      </c>
      <c r="D259" s="49" t="s">
        <v>34</v>
      </c>
      <c r="E259" s="84" t="s">
        <v>56</v>
      </c>
      <c r="F259" s="49">
        <v>1</v>
      </c>
      <c r="G259" s="50">
        <v>17519</v>
      </c>
      <c r="H259" s="49"/>
      <c r="I259" s="50"/>
      <c r="J259" s="50"/>
      <c r="K259" s="50">
        <v>17519</v>
      </c>
      <c r="L259" s="62">
        <v>20240828</v>
      </c>
    </row>
    <row r="260" spans="1:12" x14ac:dyDescent="0.25">
      <c r="A260" s="61" t="s">
        <v>291</v>
      </c>
      <c r="B260" s="49" t="s">
        <v>11</v>
      </c>
      <c r="C260" s="49" t="s">
        <v>74</v>
      </c>
      <c r="D260" s="49" t="s">
        <v>34</v>
      </c>
      <c r="E260" s="84" t="s">
        <v>182</v>
      </c>
      <c r="F260" s="49">
        <v>1</v>
      </c>
      <c r="G260" s="50">
        <v>17519</v>
      </c>
      <c r="H260" s="49"/>
      <c r="I260" s="50"/>
      <c r="J260" s="50"/>
      <c r="K260" s="50">
        <v>17519</v>
      </c>
      <c r="L260" s="62">
        <v>20240828</v>
      </c>
    </row>
    <row r="261" spans="1:12" x14ac:dyDescent="0.25">
      <c r="A261" s="61" t="s">
        <v>292</v>
      </c>
      <c r="B261" s="49" t="s">
        <v>11</v>
      </c>
      <c r="C261" s="49" t="s">
        <v>74</v>
      </c>
      <c r="D261" s="49" t="s">
        <v>34</v>
      </c>
      <c r="E261" s="84" t="s">
        <v>58</v>
      </c>
      <c r="F261" s="49">
        <v>1</v>
      </c>
      <c r="G261" s="50">
        <v>17519</v>
      </c>
      <c r="H261" s="49"/>
      <c r="I261" s="50"/>
      <c r="J261" s="50"/>
      <c r="K261" s="50">
        <v>17519</v>
      </c>
      <c r="L261" s="62">
        <v>20240828</v>
      </c>
    </row>
    <row r="262" spans="1:12" x14ac:dyDescent="0.25">
      <c r="A262" s="61" t="s">
        <v>293</v>
      </c>
      <c r="B262" s="49" t="s">
        <v>11</v>
      </c>
      <c r="C262" s="49" t="s">
        <v>74</v>
      </c>
      <c r="D262" s="49" t="s">
        <v>34</v>
      </c>
      <c r="E262" s="84" t="s">
        <v>243</v>
      </c>
      <c r="F262" s="49">
        <v>1</v>
      </c>
      <c r="G262" s="50">
        <v>17519</v>
      </c>
      <c r="H262" s="49"/>
      <c r="I262" s="50"/>
      <c r="J262" s="50"/>
      <c r="K262" s="50">
        <v>17519</v>
      </c>
      <c r="L262" s="62">
        <v>20240828</v>
      </c>
    </row>
    <row r="263" spans="1:12" x14ac:dyDescent="0.25">
      <c r="A263" s="61" t="s">
        <v>294</v>
      </c>
      <c r="B263" s="49" t="s">
        <v>11</v>
      </c>
      <c r="C263" s="49" t="s">
        <v>74</v>
      </c>
      <c r="D263" s="49" t="s">
        <v>34</v>
      </c>
      <c r="E263" s="84" t="s">
        <v>60</v>
      </c>
      <c r="F263" s="49">
        <v>1</v>
      </c>
      <c r="G263" s="50">
        <v>17519</v>
      </c>
      <c r="H263" s="49"/>
      <c r="I263" s="50"/>
      <c r="J263" s="50"/>
      <c r="K263" s="50">
        <v>17519</v>
      </c>
      <c r="L263" s="62">
        <v>20240828</v>
      </c>
    </row>
    <row r="264" spans="1:12" ht="15.75" thickBot="1" x14ac:dyDescent="0.3">
      <c r="A264" s="63" t="s">
        <v>295</v>
      </c>
      <c r="B264" s="64" t="s">
        <v>11</v>
      </c>
      <c r="C264" s="64" t="s">
        <v>74</v>
      </c>
      <c r="D264" s="64" t="s">
        <v>34</v>
      </c>
      <c r="E264" s="89" t="s">
        <v>254</v>
      </c>
      <c r="F264" s="64">
        <v>1</v>
      </c>
      <c r="G264" s="65">
        <v>17519</v>
      </c>
      <c r="H264" s="64"/>
      <c r="I264" s="65"/>
      <c r="J264" s="65"/>
      <c r="K264" s="65">
        <v>17519</v>
      </c>
      <c r="L264" s="66">
        <v>20240828</v>
      </c>
    </row>
    <row r="267" spans="1:12" ht="15.75" thickBot="1" x14ac:dyDescent="0.3">
      <c r="A267" s="97" t="s">
        <v>0</v>
      </c>
      <c r="B267" s="98" t="s">
        <v>1</v>
      </c>
      <c r="C267" s="98" t="s">
        <v>2</v>
      </c>
      <c r="D267" s="98" t="s">
        <v>3</v>
      </c>
      <c r="E267" s="99" t="s">
        <v>4</v>
      </c>
      <c r="F267" s="98"/>
      <c r="G267" s="100" t="s">
        <v>6</v>
      </c>
      <c r="H267" s="98" t="s">
        <v>7</v>
      </c>
      <c r="I267" s="100" t="s">
        <v>8</v>
      </c>
      <c r="J267" s="100" t="s">
        <v>9</v>
      </c>
      <c r="K267" s="100" t="s">
        <v>10</v>
      </c>
      <c r="L267" s="101" t="s">
        <v>5</v>
      </c>
    </row>
    <row r="268" spans="1:12" x14ac:dyDescent="0.25">
      <c r="A268" s="57" t="s">
        <v>308</v>
      </c>
      <c r="B268" s="58" t="s">
        <v>12</v>
      </c>
      <c r="C268" s="58" t="s">
        <v>136</v>
      </c>
      <c r="D268" s="58" t="s">
        <v>137</v>
      </c>
      <c r="E268" s="88" t="s">
        <v>140</v>
      </c>
      <c r="F268" s="58">
        <v>1</v>
      </c>
      <c r="G268" s="59">
        <v>35033</v>
      </c>
      <c r="H268" s="58"/>
      <c r="I268" s="59"/>
      <c r="J268" s="59"/>
      <c r="K268" s="59">
        <v>35033</v>
      </c>
      <c r="L268" s="60">
        <v>20240902</v>
      </c>
    </row>
    <row r="269" spans="1:12" x14ac:dyDescent="0.25">
      <c r="A269" s="61" t="s">
        <v>297</v>
      </c>
      <c r="B269" s="49" t="s">
        <v>111</v>
      </c>
      <c r="C269" s="49" t="s">
        <v>136</v>
      </c>
      <c r="D269" s="49" t="s">
        <v>137</v>
      </c>
      <c r="E269" s="84" t="s">
        <v>298</v>
      </c>
      <c r="F269" s="49">
        <v>1</v>
      </c>
      <c r="G269" s="50">
        <v>35033</v>
      </c>
      <c r="H269" s="49"/>
      <c r="I269" s="50"/>
      <c r="J269" s="50"/>
      <c r="K269" s="50">
        <v>35033</v>
      </c>
      <c r="L269" s="62">
        <v>20240926</v>
      </c>
    </row>
    <row r="270" spans="1:12" x14ac:dyDescent="0.25">
      <c r="A270" s="61" t="s">
        <v>299</v>
      </c>
      <c r="B270" s="49" t="s">
        <v>111</v>
      </c>
      <c r="C270" s="49" t="s">
        <v>136</v>
      </c>
      <c r="D270" s="49" t="s">
        <v>137</v>
      </c>
      <c r="E270" s="84" t="s">
        <v>300</v>
      </c>
      <c r="F270" s="49">
        <v>1</v>
      </c>
      <c r="G270" s="50">
        <v>35033</v>
      </c>
      <c r="H270" s="49"/>
      <c r="I270" s="50"/>
      <c r="J270" s="50"/>
      <c r="K270" s="50">
        <v>35033</v>
      </c>
      <c r="L270" s="62">
        <v>20240926</v>
      </c>
    </row>
    <row r="271" spans="1:12" x14ac:dyDescent="0.25">
      <c r="A271" s="61" t="s">
        <v>301</v>
      </c>
      <c r="B271" s="49" t="s">
        <v>111</v>
      </c>
      <c r="C271" s="49" t="s">
        <v>136</v>
      </c>
      <c r="D271" s="49" t="s">
        <v>137</v>
      </c>
      <c r="E271" s="84" t="s">
        <v>302</v>
      </c>
      <c r="F271" s="49">
        <v>1</v>
      </c>
      <c r="G271" s="50">
        <v>35033</v>
      </c>
      <c r="H271" s="49"/>
      <c r="I271" s="50"/>
      <c r="J271" s="50"/>
      <c r="K271" s="50">
        <v>35033</v>
      </c>
      <c r="L271" s="62">
        <v>20240926</v>
      </c>
    </row>
    <row r="272" spans="1:12" ht="15.75" thickBot="1" x14ac:dyDescent="0.3">
      <c r="A272" s="63" t="s">
        <v>303</v>
      </c>
      <c r="B272" s="64" t="s">
        <v>111</v>
      </c>
      <c r="C272" s="64" t="s">
        <v>136</v>
      </c>
      <c r="D272" s="64" t="s">
        <v>137</v>
      </c>
      <c r="E272" s="89" t="s">
        <v>304</v>
      </c>
      <c r="F272" s="64">
        <v>1</v>
      </c>
      <c r="G272" s="65">
        <v>35033</v>
      </c>
      <c r="H272" s="64"/>
      <c r="I272" s="65"/>
      <c r="J272" s="65"/>
      <c r="K272" s="65">
        <v>35033</v>
      </c>
      <c r="L272" s="66">
        <v>20240926</v>
      </c>
    </row>
    <row r="275" spans="1:12" ht="15.75" thickBot="1" x14ac:dyDescent="0.3"/>
    <row r="276" spans="1:12" ht="17.25" customHeight="1" x14ac:dyDescent="0.25">
      <c r="A276" s="57" t="s">
        <v>305</v>
      </c>
      <c r="B276" s="58" t="s">
        <v>11</v>
      </c>
      <c r="C276" s="58" t="s">
        <v>136</v>
      </c>
      <c r="D276" s="58" t="s">
        <v>137</v>
      </c>
      <c r="E276" s="88" t="s">
        <v>138</v>
      </c>
      <c r="F276" s="58">
        <v>1</v>
      </c>
      <c r="G276" s="59">
        <v>17519</v>
      </c>
      <c r="H276" s="58"/>
      <c r="I276" s="59"/>
      <c r="J276" s="59"/>
      <c r="K276" s="59">
        <v>17519</v>
      </c>
      <c r="L276" s="60">
        <v>20240902</v>
      </c>
    </row>
    <row r="277" spans="1:12" x14ac:dyDescent="0.25">
      <c r="A277" s="61" t="s">
        <v>306</v>
      </c>
      <c r="B277" s="49" t="s">
        <v>11</v>
      </c>
      <c r="C277" s="49" t="s">
        <v>136</v>
      </c>
      <c r="D277" s="49" t="s">
        <v>137</v>
      </c>
      <c r="E277" s="84" t="s">
        <v>142</v>
      </c>
      <c r="F277" s="49">
        <v>1</v>
      </c>
      <c r="G277" s="50">
        <v>17519</v>
      </c>
      <c r="H277" s="49"/>
      <c r="I277" s="50"/>
      <c r="J277" s="50"/>
      <c r="K277" s="50">
        <v>17519</v>
      </c>
      <c r="L277" s="62">
        <v>20240902</v>
      </c>
    </row>
    <row r="278" spans="1:12" ht="15.75" thickBot="1" x14ac:dyDescent="0.3">
      <c r="A278" s="63" t="s">
        <v>307</v>
      </c>
      <c r="B278" s="64" t="s">
        <v>11</v>
      </c>
      <c r="C278" s="64" t="s">
        <v>136</v>
      </c>
      <c r="D278" s="64" t="s">
        <v>137</v>
      </c>
      <c r="E278" s="89" t="s">
        <v>144</v>
      </c>
      <c r="F278" s="64">
        <v>1</v>
      </c>
      <c r="G278" s="65">
        <v>17519</v>
      </c>
      <c r="H278" s="64"/>
      <c r="I278" s="65"/>
      <c r="J278" s="65"/>
      <c r="K278" s="65">
        <v>17519</v>
      </c>
      <c r="L278" s="66">
        <v>20240902</v>
      </c>
    </row>
    <row r="280" spans="1:12" ht="15.75" thickBot="1" x14ac:dyDescent="0.3">
      <c r="A280" s="97" t="s">
        <v>0</v>
      </c>
      <c r="B280" s="98" t="s">
        <v>1</v>
      </c>
      <c r="C280" s="98" t="s">
        <v>2</v>
      </c>
      <c r="D280" s="98" t="s">
        <v>3</v>
      </c>
      <c r="E280" s="99" t="s">
        <v>4</v>
      </c>
      <c r="F280" s="98"/>
      <c r="G280" s="100" t="s">
        <v>6</v>
      </c>
      <c r="H280" s="98" t="s">
        <v>7</v>
      </c>
      <c r="I280" s="100" t="s">
        <v>8</v>
      </c>
      <c r="J280" s="100" t="s">
        <v>9</v>
      </c>
      <c r="K280" s="100" t="s">
        <v>10</v>
      </c>
      <c r="L280" s="101" t="s">
        <v>5</v>
      </c>
    </row>
    <row r="281" spans="1:12" ht="15.75" thickBot="1" x14ac:dyDescent="0.3">
      <c r="A281" s="18" t="s">
        <v>309</v>
      </c>
      <c r="B281" s="19" t="s">
        <v>310</v>
      </c>
      <c r="C281" s="19" t="s">
        <v>74</v>
      </c>
      <c r="D281" s="19" t="s">
        <v>34</v>
      </c>
      <c r="E281" s="22" t="s">
        <v>56</v>
      </c>
      <c r="F281" s="19">
        <v>1</v>
      </c>
      <c r="G281" s="95">
        <v>39692</v>
      </c>
      <c r="H281" s="19"/>
      <c r="I281" s="95"/>
      <c r="J281" s="95"/>
      <c r="K281" s="95">
        <v>39692</v>
      </c>
      <c r="L281" s="96">
        <v>20241002</v>
      </c>
    </row>
    <row r="285" spans="1:12" ht="15.75" thickBot="1" x14ac:dyDescent="0.3">
      <c r="A285" s="97" t="s">
        <v>0</v>
      </c>
      <c r="B285" s="98" t="s">
        <v>1</v>
      </c>
      <c r="C285" s="98" t="s">
        <v>2</v>
      </c>
      <c r="D285" s="98" t="s">
        <v>3</v>
      </c>
      <c r="E285" s="99" t="s">
        <v>4</v>
      </c>
      <c r="F285" s="98"/>
      <c r="G285" s="100" t="s">
        <v>6</v>
      </c>
      <c r="H285" s="98" t="s">
        <v>7</v>
      </c>
      <c r="I285" s="100" t="s">
        <v>8</v>
      </c>
      <c r="J285" s="100" t="s">
        <v>9</v>
      </c>
      <c r="K285" s="100" t="s">
        <v>10</v>
      </c>
      <c r="L285" s="101" t="s">
        <v>5</v>
      </c>
    </row>
    <row r="286" spans="1:12" ht="15.75" thickBot="1" x14ac:dyDescent="0.3">
      <c r="A286" s="18" t="s">
        <v>311</v>
      </c>
      <c r="B286" s="19" t="s">
        <v>12</v>
      </c>
      <c r="C286" s="19" t="s">
        <v>26</v>
      </c>
      <c r="D286" s="19" t="s">
        <v>40</v>
      </c>
      <c r="E286" s="22">
        <v>7949550</v>
      </c>
      <c r="F286" s="19">
        <v>1</v>
      </c>
      <c r="G286" s="95">
        <v>39692</v>
      </c>
      <c r="H286" s="19"/>
      <c r="I286" s="95"/>
      <c r="J286" s="95"/>
      <c r="K286" s="95">
        <v>39692</v>
      </c>
      <c r="L286" s="96">
        <v>20241104</v>
      </c>
    </row>
    <row r="287" spans="1:12" x14ac:dyDescent="0.25">
      <c r="A287" s="90"/>
      <c r="B287" s="91"/>
      <c r="C287" s="91"/>
      <c r="D287" s="91"/>
      <c r="E287" s="92"/>
      <c r="F287" s="91"/>
      <c r="G287" s="93"/>
      <c r="H287" s="91"/>
      <c r="I287" s="93"/>
      <c r="J287" s="93"/>
      <c r="K287" s="93"/>
      <c r="L287" s="94"/>
    </row>
    <row r="290" spans="1:12" ht="15.75" thickBot="1" x14ac:dyDescent="0.3">
      <c r="A290" s="97" t="s">
        <v>0</v>
      </c>
      <c r="B290" s="98" t="s">
        <v>1</v>
      </c>
      <c r="C290" s="98" t="s">
        <v>2</v>
      </c>
      <c r="D290" s="98" t="s">
        <v>3</v>
      </c>
      <c r="E290" s="99" t="s">
        <v>4</v>
      </c>
      <c r="F290" s="98"/>
      <c r="G290" s="100" t="s">
        <v>6</v>
      </c>
      <c r="H290" s="98" t="s">
        <v>7</v>
      </c>
      <c r="I290" s="100" t="s">
        <v>8</v>
      </c>
      <c r="J290" s="100" t="s">
        <v>9</v>
      </c>
      <c r="K290" s="100" t="s">
        <v>10</v>
      </c>
      <c r="L290" s="101" t="s">
        <v>5</v>
      </c>
    </row>
    <row r="291" spans="1:12" ht="15.75" thickBot="1" x14ac:dyDescent="0.3">
      <c r="A291" s="18" t="s">
        <v>312</v>
      </c>
      <c r="B291" s="19" t="s">
        <v>12</v>
      </c>
      <c r="C291" s="19" t="s">
        <v>28</v>
      </c>
      <c r="D291" s="19" t="s">
        <v>71</v>
      </c>
      <c r="E291" s="22" t="s">
        <v>72</v>
      </c>
      <c r="F291" s="19">
        <v>1</v>
      </c>
      <c r="G291" s="95">
        <v>39692</v>
      </c>
      <c r="H291" s="19"/>
      <c r="I291" s="95"/>
      <c r="J291" s="95"/>
      <c r="K291" s="95">
        <v>39692</v>
      </c>
      <c r="L291" s="96">
        <v>20241217</v>
      </c>
    </row>
    <row r="295" spans="1:12" ht="15.75" thickBot="1" x14ac:dyDescent="0.3">
      <c r="A295" s="97" t="s">
        <v>0</v>
      </c>
      <c r="B295" s="98" t="s">
        <v>1</v>
      </c>
      <c r="C295" s="98" t="s">
        <v>2</v>
      </c>
      <c r="D295" s="98" t="s">
        <v>3</v>
      </c>
      <c r="E295" s="99" t="s">
        <v>4</v>
      </c>
      <c r="F295" s="98"/>
      <c r="G295" s="100" t="s">
        <v>6</v>
      </c>
      <c r="H295" s="98" t="s">
        <v>7</v>
      </c>
      <c r="I295" s="100" t="s">
        <v>8</v>
      </c>
      <c r="J295" s="100" t="s">
        <v>9</v>
      </c>
      <c r="K295" s="100" t="s">
        <v>10</v>
      </c>
      <c r="L295" s="101" t="s">
        <v>5</v>
      </c>
    </row>
    <row r="296" spans="1:12" x14ac:dyDescent="0.25">
      <c r="A296" s="114" t="s">
        <v>333</v>
      </c>
      <c r="B296" s="115" t="s">
        <v>12</v>
      </c>
      <c r="C296" s="115" t="s">
        <v>33</v>
      </c>
      <c r="D296" s="115" t="s">
        <v>34</v>
      </c>
      <c r="E296" s="116" t="s">
        <v>192</v>
      </c>
      <c r="F296" s="115">
        <v>1</v>
      </c>
      <c r="G296" s="117">
        <v>43063</v>
      </c>
      <c r="H296" s="115"/>
      <c r="I296" s="117"/>
      <c r="J296" s="117"/>
      <c r="K296" s="117">
        <v>43063</v>
      </c>
      <c r="L296" s="118">
        <v>20250211</v>
      </c>
    </row>
    <row r="297" spans="1:12" ht="15.75" thickBot="1" x14ac:dyDescent="0.3">
      <c r="A297" s="63" t="s">
        <v>318</v>
      </c>
      <c r="B297" s="64" t="s">
        <v>12</v>
      </c>
      <c r="C297" s="64" t="s">
        <v>74</v>
      </c>
      <c r="D297" s="64" t="s">
        <v>34</v>
      </c>
      <c r="E297" s="89" t="s">
        <v>243</v>
      </c>
      <c r="F297" s="64">
        <v>1</v>
      </c>
      <c r="G297" s="65">
        <v>46293</v>
      </c>
      <c r="H297" s="64"/>
      <c r="I297" s="65"/>
      <c r="J297" s="65"/>
      <c r="K297" s="65">
        <v>46293</v>
      </c>
      <c r="L297" s="66">
        <v>20250424</v>
      </c>
    </row>
    <row r="298" spans="1:12" ht="15.75" thickBot="1" x14ac:dyDescent="0.3">
      <c r="A298" s="102"/>
      <c r="B298" s="103"/>
      <c r="C298" s="103"/>
      <c r="D298" s="103"/>
      <c r="E298" s="104"/>
      <c r="F298" s="103"/>
      <c r="G298" s="105"/>
      <c r="H298" s="103"/>
      <c r="I298" s="105"/>
      <c r="J298" s="105"/>
      <c r="K298" s="105"/>
      <c r="L298" s="106"/>
    </row>
    <row r="299" spans="1:12" x14ac:dyDescent="0.25">
      <c r="A299" s="57" t="s">
        <v>325</v>
      </c>
      <c r="B299" s="58" t="s">
        <v>11</v>
      </c>
      <c r="C299" s="58" t="s">
        <v>74</v>
      </c>
      <c r="D299" s="58" t="s">
        <v>34</v>
      </c>
      <c r="E299" s="88" t="s">
        <v>54</v>
      </c>
      <c r="F299" s="58">
        <v>1</v>
      </c>
      <c r="G299" s="59">
        <v>23138</v>
      </c>
      <c r="H299" s="58"/>
      <c r="I299" s="59"/>
      <c r="J299" s="59"/>
      <c r="K299" s="59">
        <v>23138</v>
      </c>
      <c r="L299" s="60">
        <v>20250429</v>
      </c>
    </row>
    <row r="300" spans="1:12" x14ac:dyDescent="0.25">
      <c r="A300" s="61" t="s">
        <v>327</v>
      </c>
      <c r="B300" s="49" t="s">
        <v>11</v>
      </c>
      <c r="C300" s="49" t="s">
        <v>74</v>
      </c>
      <c r="D300" s="49" t="s">
        <v>34</v>
      </c>
      <c r="E300" s="84" t="s">
        <v>62</v>
      </c>
      <c r="F300" s="49">
        <v>1</v>
      </c>
      <c r="G300" s="50">
        <v>23138</v>
      </c>
      <c r="H300" s="49"/>
      <c r="I300" s="50"/>
      <c r="J300" s="50"/>
      <c r="K300" s="50">
        <v>23138</v>
      </c>
      <c r="L300" s="62">
        <v>20250429</v>
      </c>
    </row>
    <row r="301" spans="1:12" x14ac:dyDescent="0.25">
      <c r="A301" s="61" t="s">
        <v>330</v>
      </c>
      <c r="B301" s="49" t="s">
        <v>11</v>
      </c>
      <c r="C301" s="49" t="s">
        <v>74</v>
      </c>
      <c r="D301" s="49" t="s">
        <v>34</v>
      </c>
      <c r="E301" s="84" t="s">
        <v>60</v>
      </c>
      <c r="F301" s="49">
        <v>1</v>
      </c>
      <c r="G301" s="50">
        <v>23138</v>
      </c>
      <c r="H301" s="49"/>
      <c r="I301" s="50"/>
      <c r="J301" s="50"/>
      <c r="K301" s="50">
        <v>23138</v>
      </c>
      <c r="L301" s="62">
        <v>20250429</v>
      </c>
    </row>
    <row r="302" spans="1:12" x14ac:dyDescent="0.25">
      <c r="A302" s="61" t="s">
        <v>331</v>
      </c>
      <c r="B302" s="49" t="s">
        <v>11</v>
      </c>
      <c r="C302" s="49" t="s">
        <v>74</v>
      </c>
      <c r="D302" s="49" t="s">
        <v>34</v>
      </c>
      <c r="E302" s="84" t="s">
        <v>254</v>
      </c>
      <c r="F302" s="49">
        <v>1</v>
      </c>
      <c r="G302" s="50">
        <v>23138</v>
      </c>
      <c r="H302" s="49"/>
      <c r="I302" s="50"/>
      <c r="J302" s="50"/>
      <c r="K302" s="50">
        <v>23138</v>
      </c>
      <c r="L302" s="62">
        <v>20250429</v>
      </c>
    </row>
    <row r="303" spans="1:12" x14ac:dyDescent="0.25">
      <c r="A303" s="61" t="s">
        <v>323</v>
      </c>
      <c r="B303" s="49" t="s">
        <v>11</v>
      </c>
      <c r="C303" s="49" t="s">
        <v>74</v>
      </c>
      <c r="D303" s="49" t="s">
        <v>34</v>
      </c>
      <c r="E303" s="84" t="s">
        <v>48</v>
      </c>
      <c r="F303" s="49">
        <v>1</v>
      </c>
      <c r="G303" s="50">
        <v>23138</v>
      </c>
      <c r="H303" s="49"/>
      <c r="I303" s="50"/>
      <c r="J303" s="50"/>
      <c r="K303" s="50">
        <v>23138</v>
      </c>
      <c r="L303" s="62">
        <v>20250430</v>
      </c>
    </row>
    <row r="304" spans="1:12" x14ac:dyDescent="0.25">
      <c r="A304" s="61" t="s">
        <v>324</v>
      </c>
      <c r="B304" s="49" t="s">
        <v>11</v>
      </c>
      <c r="C304" s="49" t="s">
        <v>74</v>
      </c>
      <c r="D304" s="49" t="s">
        <v>34</v>
      </c>
      <c r="E304" s="84" t="s">
        <v>50</v>
      </c>
      <c r="F304" s="49">
        <v>1</v>
      </c>
      <c r="G304" s="50">
        <v>23138</v>
      </c>
      <c r="H304" s="49"/>
      <c r="I304" s="50"/>
      <c r="J304" s="50"/>
      <c r="K304" s="50">
        <v>23138</v>
      </c>
      <c r="L304" s="62">
        <v>20250430</v>
      </c>
    </row>
    <row r="305" spans="1:12" x14ac:dyDescent="0.25">
      <c r="A305" s="61" t="s">
        <v>326</v>
      </c>
      <c r="B305" s="49" t="s">
        <v>11</v>
      </c>
      <c r="C305" s="49" t="s">
        <v>74</v>
      </c>
      <c r="D305" s="49" t="s">
        <v>34</v>
      </c>
      <c r="E305" s="84" t="s">
        <v>64</v>
      </c>
      <c r="F305" s="49">
        <v>1</v>
      </c>
      <c r="G305" s="50">
        <v>23138</v>
      </c>
      <c r="H305" s="49"/>
      <c r="I305" s="50"/>
      <c r="J305" s="50"/>
      <c r="K305" s="50">
        <v>23138</v>
      </c>
      <c r="L305" s="62">
        <v>20250430</v>
      </c>
    </row>
    <row r="306" spans="1:12" x14ac:dyDescent="0.25">
      <c r="A306" s="61" t="s">
        <v>328</v>
      </c>
      <c r="B306" s="49" t="s">
        <v>11</v>
      </c>
      <c r="C306" s="49" t="s">
        <v>74</v>
      </c>
      <c r="D306" s="49" t="s">
        <v>34</v>
      </c>
      <c r="E306" s="84" t="s">
        <v>182</v>
      </c>
      <c r="F306" s="49">
        <v>1</v>
      </c>
      <c r="G306" s="50">
        <v>23138</v>
      </c>
      <c r="H306" s="49"/>
      <c r="I306" s="50"/>
      <c r="J306" s="50"/>
      <c r="K306" s="50">
        <v>23138</v>
      </c>
      <c r="L306" s="62">
        <v>20250430</v>
      </c>
    </row>
    <row r="307" spans="1:12" x14ac:dyDescent="0.25">
      <c r="A307" s="61" t="s">
        <v>329</v>
      </c>
      <c r="B307" s="49" t="s">
        <v>11</v>
      </c>
      <c r="C307" s="49" t="s">
        <v>74</v>
      </c>
      <c r="D307" s="49" t="s">
        <v>34</v>
      </c>
      <c r="E307" s="84" t="s">
        <v>58</v>
      </c>
      <c r="F307" s="49">
        <v>1</v>
      </c>
      <c r="G307" s="50">
        <v>23138</v>
      </c>
      <c r="H307" s="49"/>
      <c r="I307" s="50"/>
      <c r="J307" s="50"/>
      <c r="K307" s="50">
        <v>23138</v>
      </c>
      <c r="L307" s="62">
        <v>20250430</v>
      </c>
    </row>
    <row r="308" spans="1:12" x14ac:dyDescent="0.25">
      <c r="A308" s="61" t="s">
        <v>321</v>
      </c>
      <c r="B308" s="49" t="s">
        <v>11</v>
      </c>
      <c r="C308" s="49" t="s">
        <v>26</v>
      </c>
      <c r="D308" s="49" t="s">
        <v>40</v>
      </c>
      <c r="E308" s="84" t="s">
        <v>107</v>
      </c>
      <c r="F308" s="49">
        <v>1</v>
      </c>
      <c r="G308" s="50">
        <v>23138</v>
      </c>
      <c r="H308" s="49"/>
      <c r="I308" s="50"/>
      <c r="J308" s="50"/>
      <c r="K308" s="50">
        <v>23138</v>
      </c>
      <c r="L308" s="62">
        <v>20250512</v>
      </c>
    </row>
    <row r="309" spans="1:12" x14ac:dyDescent="0.25">
      <c r="A309" s="61" t="s">
        <v>322</v>
      </c>
      <c r="B309" s="49" t="s">
        <v>11</v>
      </c>
      <c r="C309" s="49" t="s">
        <v>26</v>
      </c>
      <c r="D309" s="49" t="s">
        <v>40</v>
      </c>
      <c r="E309" s="84" t="s">
        <v>157</v>
      </c>
      <c r="F309" s="49">
        <v>1</v>
      </c>
      <c r="G309" s="50">
        <v>23138</v>
      </c>
      <c r="H309" s="49"/>
      <c r="I309" s="50"/>
      <c r="J309" s="50"/>
      <c r="K309" s="50">
        <v>23138</v>
      </c>
      <c r="L309" s="62">
        <v>20250512</v>
      </c>
    </row>
    <row r="310" spans="1:12" x14ac:dyDescent="0.25">
      <c r="A310" s="61" t="s">
        <v>332</v>
      </c>
      <c r="B310" s="49" t="s">
        <v>11</v>
      </c>
      <c r="C310" s="49" t="s">
        <v>26</v>
      </c>
      <c r="D310" s="49" t="s">
        <v>40</v>
      </c>
      <c r="E310" s="84">
        <v>7949550</v>
      </c>
      <c r="F310" s="49">
        <v>1</v>
      </c>
      <c r="G310" s="50">
        <v>23138</v>
      </c>
      <c r="H310" s="49"/>
      <c r="I310" s="50"/>
      <c r="J310" s="50"/>
      <c r="K310" s="50">
        <v>23138</v>
      </c>
      <c r="L310" s="62">
        <v>20250512</v>
      </c>
    </row>
    <row r="311" spans="1:12" x14ac:dyDescent="0.25">
      <c r="A311" s="61" t="s">
        <v>316</v>
      </c>
      <c r="B311" s="49" t="s">
        <v>11</v>
      </c>
      <c r="C311" s="49" t="s">
        <v>26</v>
      </c>
      <c r="D311" s="49" t="s">
        <v>40</v>
      </c>
      <c r="E311" s="84" t="s">
        <v>317</v>
      </c>
      <c r="F311" s="49">
        <v>1</v>
      </c>
      <c r="G311" s="50">
        <v>23138</v>
      </c>
      <c r="H311" s="49"/>
      <c r="I311" s="50"/>
      <c r="J311" s="50"/>
      <c r="K311" s="50">
        <v>23138</v>
      </c>
      <c r="L311" s="62">
        <v>20250514</v>
      </c>
    </row>
    <row r="312" spans="1:12" x14ac:dyDescent="0.25">
      <c r="A312" s="61" t="s">
        <v>313</v>
      </c>
      <c r="B312" s="49" t="s">
        <v>11</v>
      </c>
      <c r="C312" s="49" t="s">
        <v>103</v>
      </c>
      <c r="D312" s="49" t="s">
        <v>34</v>
      </c>
      <c r="E312" s="84" t="s">
        <v>104</v>
      </c>
      <c r="F312" s="49">
        <v>1</v>
      </c>
      <c r="G312" s="50">
        <v>23138</v>
      </c>
      <c r="H312" s="49"/>
      <c r="I312" s="50"/>
      <c r="J312" s="50"/>
      <c r="K312" s="50">
        <v>23138</v>
      </c>
      <c r="L312" s="62">
        <v>20250515</v>
      </c>
    </row>
    <row r="313" spans="1:12" x14ac:dyDescent="0.25">
      <c r="A313" s="61" t="s">
        <v>314</v>
      </c>
      <c r="B313" s="49" t="s">
        <v>11</v>
      </c>
      <c r="C313" s="49" t="s">
        <v>100</v>
      </c>
      <c r="D313" s="49" t="s">
        <v>203</v>
      </c>
      <c r="E313" s="84" t="s">
        <v>238</v>
      </c>
      <c r="F313" s="49">
        <v>1</v>
      </c>
      <c r="G313" s="50">
        <v>23138</v>
      </c>
      <c r="H313" s="49"/>
      <c r="I313" s="50"/>
      <c r="J313" s="50"/>
      <c r="K313" s="50">
        <v>23138</v>
      </c>
      <c r="L313" s="62">
        <v>20250516</v>
      </c>
    </row>
    <row r="314" spans="1:12" x14ac:dyDescent="0.25">
      <c r="A314" s="61" t="s">
        <v>315</v>
      </c>
      <c r="B314" s="49" t="s">
        <v>11</v>
      </c>
      <c r="C314" s="49" t="s">
        <v>100</v>
      </c>
      <c r="D314" s="49" t="s">
        <v>203</v>
      </c>
      <c r="E314" s="84" t="s">
        <v>101</v>
      </c>
      <c r="F314" s="49">
        <v>1</v>
      </c>
      <c r="G314" s="50">
        <v>23138</v>
      </c>
      <c r="H314" s="49"/>
      <c r="I314" s="50"/>
      <c r="J314" s="50"/>
      <c r="K314" s="50">
        <v>23138</v>
      </c>
      <c r="L314" s="62">
        <v>20250516</v>
      </c>
    </row>
    <row r="315" spans="1:12" x14ac:dyDescent="0.25">
      <c r="A315" s="61" t="s">
        <v>319</v>
      </c>
      <c r="B315" s="49" t="s">
        <v>11</v>
      </c>
      <c r="C315" s="49" t="s">
        <v>33</v>
      </c>
      <c r="D315" s="49" t="s">
        <v>34</v>
      </c>
      <c r="E315" s="84" t="s">
        <v>162</v>
      </c>
      <c r="F315" s="49">
        <v>1</v>
      </c>
      <c r="G315" s="50">
        <v>23138</v>
      </c>
      <c r="H315" s="49"/>
      <c r="I315" s="50"/>
      <c r="J315" s="50"/>
      <c r="K315" s="50">
        <v>23138</v>
      </c>
      <c r="L315" s="62">
        <v>20250521</v>
      </c>
    </row>
    <row r="316" spans="1:12" ht="15.75" thickBot="1" x14ac:dyDescent="0.3">
      <c r="A316" s="63" t="s">
        <v>320</v>
      </c>
      <c r="B316" s="64" t="s">
        <v>11</v>
      </c>
      <c r="C316" s="64" t="s">
        <v>33</v>
      </c>
      <c r="D316" s="64" t="s">
        <v>34</v>
      </c>
      <c r="E316" s="89" t="s">
        <v>192</v>
      </c>
      <c r="F316" s="64">
        <v>1</v>
      </c>
      <c r="G316" s="65">
        <v>23138</v>
      </c>
      <c r="H316" s="64"/>
      <c r="I316" s="65"/>
      <c r="J316" s="65"/>
      <c r="K316" s="65">
        <v>23138</v>
      </c>
      <c r="L316" s="66">
        <v>20250521</v>
      </c>
    </row>
    <row r="319" spans="1:12" ht="15.75" thickBot="1" x14ac:dyDescent="0.3">
      <c r="A319" s="97" t="s">
        <v>0</v>
      </c>
      <c r="B319" s="98" t="s">
        <v>1</v>
      </c>
      <c r="C319" s="98" t="s">
        <v>2</v>
      </c>
      <c r="D319" s="98" t="s">
        <v>3</v>
      </c>
      <c r="E319" s="99" t="s">
        <v>4</v>
      </c>
      <c r="F319" s="98"/>
      <c r="G319" s="100" t="s">
        <v>6</v>
      </c>
      <c r="H319" s="98" t="s">
        <v>7</v>
      </c>
      <c r="I319" s="100" t="s">
        <v>8</v>
      </c>
      <c r="J319" s="100" t="s">
        <v>9</v>
      </c>
      <c r="K319" s="100" t="s">
        <v>10</v>
      </c>
      <c r="L319" s="101" t="s">
        <v>5</v>
      </c>
    </row>
    <row r="320" spans="1:12" x14ac:dyDescent="0.25">
      <c r="A320" s="57" t="s">
        <v>341</v>
      </c>
      <c r="B320" s="58" t="s">
        <v>12</v>
      </c>
      <c r="C320" s="58" t="s">
        <v>26</v>
      </c>
      <c r="D320" s="58" t="s">
        <v>40</v>
      </c>
      <c r="E320" s="88" t="s">
        <v>317</v>
      </c>
      <c r="F320" s="58">
        <v>1</v>
      </c>
      <c r="G320" s="59">
        <v>46293</v>
      </c>
      <c r="H320" s="58"/>
      <c r="I320" s="59"/>
      <c r="J320" s="59"/>
      <c r="K320" s="59">
        <f t="shared" ref="K320:K324" si="4">J320+G320</f>
        <v>46293</v>
      </c>
      <c r="L320" s="60">
        <v>20250604</v>
      </c>
    </row>
    <row r="321" spans="1:12" ht="15.75" thickBot="1" x14ac:dyDescent="0.3">
      <c r="A321" s="63" t="s">
        <v>342</v>
      </c>
      <c r="B321" s="64" t="s">
        <v>310</v>
      </c>
      <c r="C321" s="64" t="s">
        <v>33</v>
      </c>
      <c r="D321" s="64" t="s">
        <v>34</v>
      </c>
      <c r="E321" s="89" t="s">
        <v>164</v>
      </c>
      <c r="F321" s="64">
        <v>1</v>
      </c>
      <c r="G321" s="65">
        <v>46293</v>
      </c>
      <c r="H321" s="64"/>
      <c r="I321" s="65"/>
      <c r="J321" s="65"/>
      <c r="K321" s="65">
        <f t="shared" si="4"/>
        <v>46293</v>
      </c>
      <c r="L321" s="66">
        <v>20250610</v>
      </c>
    </row>
    <row r="322" spans="1:12" ht="15.75" thickBot="1" x14ac:dyDescent="0.3">
      <c r="A322" s="102"/>
      <c r="B322" s="103"/>
      <c r="C322" s="103"/>
      <c r="D322" s="103"/>
      <c r="E322" s="104"/>
      <c r="F322" s="103"/>
      <c r="G322" s="105"/>
      <c r="H322" s="103"/>
      <c r="I322" s="105"/>
      <c r="J322" s="105"/>
      <c r="K322" s="105"/>
      <c r="L322" s="106"/>
    </row>
    <row r="323" spans="1:12" x14ac:dyDescent="0.25">
      <c r="A323" s="57" t="s">
        <v>338</v>
      </c>
      <c r="B323" s="58" t="s">
        <v>11</v>
      </c>
      <c r="C323" s="58" t="s">
        <v>74</v>
      </c>
      <c r="D323" s="58" t="s">
        <v>34</v>
      </c>
      <c r="E323" s="88" t="s">
        <v>243</v>
      </c>
      <c r="F323" s="58">
        <v>1</v>
      </c>
      <c r="G323" s="59">
        <v>23138</v>
      </c>
      <c r="H323" s="58"/>
      <c r="I323" s="59"/>
      <c r="J323" s="59"/>
      <c r="K323" s="59">
        <f t="shared" si="4"/>
        <v>23138</v>
      </c>
      <c r="L323" s="60">
        <v>20250605</v>
      </c>
    </row>
    <row r="324" spans="1:12" x14ac:dyDescent="0.25">
      <c r="A324" s="61" t="s">
        <v>339</v>
      </c>
      <c r="B324" s="49" t="s">
        <v>11</v>
      </c>
      <c r="C324" s="49" t="s">
        <v>74</v>
      </c>
      <c r="D324" s="49" t="s">
        <v>34</v>
      </c>
      <c r="E324" s="84" t="s">
        <v>340</v>
      </c>
      <c r="F324" s="49">
        <v>1</v>
      </c>
      <c r="G324" s="50">
        <v>23138</v>
      </c>
      <c r="H324" s="49"/>
      <c r="I324" s="50"/>
      <c r="J324" s="50"/>
      <c r="K324" s="50">
        <f t="shared" si="4"/>
        <v>23138</v>
      </c>
      <c r="L324" s="62">
        <v>20250605</v>
      </c>
    </row>
    <row r="325" spans="1:12" x14ac:dyDescent="0.25">
      <c r="A325" s="119" t="s">
        <v>334</v>
      </c>
      <c r="B325" s="120" t="s">
        <v>11</v>
      </c>
      <c r="C325" s="120" t="s">
        <v>136</v>
      </c>
      <c r="D325" s="120" t="s">
        <v>137</v>
      </c>
      <c r="E325" s="121" t="s">
        <v>300</v>
      </c>
      <c r="F325" s="120">
        <v>1</v>
      </c>
      <c r="G325" s="122">
        <v>23138</v>
      </c>
      <c r="H325" s="120">
        <v>44</v>
      </c>
      <c r="I325" s="122">
        <v>559.20000000000005</v>
      </c>
      <c r="J325" s="122">
        <f>I325*H325</f>
        <v>24604.800000000003</v>
      </c>
      <c r="K325" s="122">
        <f>J325+G325</f>
        <v>47742.8</v>
      </c>
      <c r="L325" s="123">
        <v>20250610</v>
      </c>
    </row>
    <row r="326" spans="1:12" x14ac:dyDescent="0.25">
      <c r="A326" s="61" t="s">
        <v>335</v>
      </c>
      <c r="B326" s="49" t="s">
        <v>11</v>
      </c>
      <c r="C326" s="49" t="s">
        <v>136</v>
      </c>
      <c r="D326" s="49" t="s">
        <v>137</v>
      </c>
      <c r="E326" s="84" t="s">
        <v>302</v>
      </c>
      <c r="F326" s="49">
        <v>1</v>
      </c>
      <c r="G326" s="50">
        <v>23138</v>
      </c>
      <c r="H326" s="49"/>
      <c r="I326" s="50"/>
      <c r="J326" s="50"/>
      <c r="K326" s="50">
        <f t="shared" ref="K326:K328" si="5">J326+G326</f>
        <v>23138</v>
      </c>
      <c r="L326" s="62">
        <v>20250611</v>
      </c>
    </row>
    <row r="327" spans="1:12" x14ac:dyDescent="0.25">
      <c r="A327" s="61" t="s">
        <v>336</v>
      </c>
      <c r="B327" s="49" t="s">
        <v>11</v>
      </c>
      <c r="C327" s="49" t="s">
        <v>136</v>
      </c>
      <c r="D327" s="49" t="s">
        <v>137</v>
      </c>
      <c r="E327" s="84" t="s">
        <v>304</v>
      </c>
      <c r="F327" s="49">
        <v>1</v>
      </c>
      <c r="G327" s="50">
        <v>23138</v>
      </c>
      <c r="H327" s="49"/>
      <c r="I327" s="50"/>
      <c r="J327" s="50"/>
      <c r="K327" s="50">
        <f t="shared" si="5"/>
        <v>23138</v>
      </c>
      <c r="L327" s="62">
        <v>20250611</v>
      </c>
    </row>
    <row r="328" spans="1:12" ht="15.75" thickBot="1" x14ac:dyDescent="0.3">
      <c r="A328" s="63" t="s">
        <v>337</v>
      </c>
      <c r="B328" s="64" t="s">
        <v>11</v>
      </c>
      <c r="C328" s="64" t="s">
        <v>136</v>
      </c>
      <c r="D328" s="64" t="s">
        <v>137</v>
      </c>
      <c r="E328" s="89" t="s">
        <v>298</v>
      </c>
      <c r="F328" s="64">
        <v>1</v>
      </c>
      <c r="G328" s="65">
        <v>23138</v>
      </c>
      <c r="H328" s="64"/>
      <c r="I328" s="65"/>
      <c r="J328" s="65"/>
      <c r="K328" s="65">
        <f t="shared" si="5"/>
        <v>23138</v>
      </c>
      <c r="L328" s="66">
        <v>20250611</v>
      </c>
    </row>
    <row r="331" spans="1:12" ht="15.75" thickBot="1" x14ac:dyDescent="0.3">
      <c r="A331" s="97" t="s">
        <v>0</v>
      </c>
      <c r="B331" s="98" t="s">
        <v>1</v>
      </c>
      <c r="C331" s="98" t="s">
        <v>2</v>
      </c>
      <c r="D331" s="98" t="s">
        <v>3</v>
      </c>
      <c r="E331" s="99" t="s">
        <v>4</v>
      </c>
      <c r="F331" s="98"/>
      <c r="G331" s="100" t="s">
        <v>6</v>
      </c>
      <c r="H331" s="98" t="s">
        <v>7</v>
      </c>
      <c r="I331" s="100" t="s">
        <v>8</v>
      </c>
      <c r="J331" s="100" t="s">
        <v>9</v>
      </c>
      <c r="K331" s="100" t="s">
        <v>10</v>
      </c>
      <c r="L331" s="101" t="s">
        <v>5</v>
      </c>
    </row>
    <row r="332" spans="1:12" x14ac:dyDescent="0.25">
      <c r="A332" s="57" t="s">
        <v>346</v>
      </c>
      <c r="B332" s="58" t="s">
        <v>12</v>
      </c>
      <c r="C332" s="58" t="s">
        <v>74</v>
      </c>
      <c r="D332" s="58" t="s">
        <v>34</v>
      </c>
      <c r="E332" s="88" t="s">
        <v>50</v>
      </c>
      <c r="F332" s="58">
        <v>1</v>
      </c>
      <c r="G332" s="59">
        <v>50089</v>
      </c>
      <c r="H332" s="58"/>
      <c r="I332" s="59"/>
      <c r="J332" s="59"/>
      <c r="K332" s="59">
        <v>50089</v>
      </c>
      <c r="L332" s="60">
        <v>20250704</v>
      </c>
    </row>
    <row r="333" spans="1:12" x14ac:dyDescent="0.25">
      <c r="A333" s="61" t="s">
        <v>347</v>
      </c>
      <c r="B333" s="49" t="s">
        <v>12</v>
      </c>
      <c r="C333" s="49" t="s">
        <v>74</v>
      </c>
      <c r="D333" s="49" t="s">
        <v>34</v>
      </c>
      <c r="E333" s="84" t="s">
        <v>254</v>
      </c>
      <c r="F333" s="49">
        <v>1</v>
      </c>
      <c r="G333" s="50">
        <v>50089</v>
      </c>
      <c r="H333" s="49"/>
      <c r="I333" s="50"/>
      <c r="J333" s="50"/>
      <c r="K333" s="50">
        <v>50089</v>
      </c>
      <c r="L333" s="62">
        <v>20250704</v>
      </c>
    </row>
    <row r="334" spans="1:12" x14ac:dyDescent="0.25">
      <c r="A334" s="61" t="s">
        <v>345</v>
      </c>
      <c r="B334" s="49" t="s">
        <v>12</v>
      </c>
      <c r="C334" s="49" t="s">
        <v>74</v>
      </c>
      <c r="D334" s="49" t="s">
        <v>34</v>
      </c>
      <c r="E334" s="84" t="s">
        <v>58</v>
      </c>
      <c r="F334" s="49">
        <v>1</v>
      </c>
      <c r="G334" s="50">
        <v>50089</v>
      </c>
      <c r="H334" s="49"/>
      <c r="I334" s="50"/>
      <c r="J334" s="50"/>
      <c r="K334" s="50">
        <v>50089</v>
      </c>
      <c r="L334" s="62">
        <v>20250714</v>
      </c>
    </row>
    <row r="335" spans="1:12" x14ac:dyDescent="0.25">
      <c r="A335" s="61" t="s">
        <v>344</v>
      </c>
      <c r="B335" s="49" t="s">
        <v>12</v>
      </c>
      <c r="C335" s="49" t="s">
        <v>74</v>
      </c>
      <c r="D335" s="49" t="s">
        <v>34</v>
      </c>
      <c r="E335" s="84" t="s">
        <v>54</v>
      </c>
      <c r="F335" s="49">
        <v>1</v>
      </c>
      <c r="G335" s="50">
        <v>50089</v>
      </c>
      <c r="H335" s="49"/>
      <c r="I335" s="50"/>
      <c r="J335" s="50"/>
      <c r="K335" s="50">
        <v>50089</v>
      </c>
      <c r="L335" s="62">
        <v>20250722</v>
      </c>
    </row>
    <row r="336" spans="1:12" ht="15.75" thickBot="1" x14ac:dyDescent="0.3">
      <c r="A336" s="63" t="s">
        <v>343</v>
      </c>
      <c r="B336" s="64" t="s">
        <v>12</v>
      </c>
      <c r="C336" s="64" t="s">
        <v>26</v>
      </c>
      <c r="D336" s="64" t="s">
        <v>40</v>
      </c>
      <c r="E336" s="89" t="s">
        <v>317</v>
      </c>
      <c r="F336" s="64">
        <v>1</v>
      </c>
      <c r="G336" s="65">
        <v>50089</v>
      </c>
      <c r="H336" s="64"/>
      <c r="I336" s="65"/>
      <c r="J336" s="65"/>
      <c r="K336" s="65">
        <v>50089</v>
      </c>
      <c r="L336" s="66">
        <v>20250729</v>
      </c>
    </row>
    <row r="339" spans="1:12" ht="15.75" thickBot="1" x14ac:dyDescent="0.3">
      <c r="A339" s="97" t="s">
        <v>0</v>
      </c>
      <c r="B339" s="98" t="s">
        <v>1</v>
      </c>
      <c r="C339" s="98" t="s">
        <v>2</v>
      </c>
      <c r="D339" s="98" t="s">
        <v>3</v>
      </c>
      <c r="E339" s="99" t="s">
        <v>4</v>
      </c>
      <c r="F339" s="98"/>
      <c r="G339" s="100" t="s">
        <v>6</v>
      </c>
      <c r="H339" s="98" t="s">
        <v>7</v>
      </c>
      <c r="I339" s="100" t="s">
        <v>8</v>
      </c>
      <c r="J339" s="100" t="s">
        <v>9</v>
      </c>
      <c r="K339" s="100" t="s">
        <v>10</v>
      </c>
      <c r="L339" s="101" t="s">
        <v>5</v>
      </c>
    </row>
    <row r="340" spans="1:12" x14ac:dyDescent="0.25">
      <c r="A340" s="124" t="s">
        <v>350</v>
      </c>
      <c r="B340" s="125" t="s">
        <v>12</v>
      </c>
      <c r="C340" s="125" t="s">
        <v>136</v>
      </c>
      <c r="D340" s="125" t="s">
        <v>137</v>
      </c>
      <c r="E340" s="126" t="s">
        <v>298</v>
      </c>
      <c r="F340" s="125">
        <v>1</v>
      </c>
      <c r="G340" s="127">
        <v>50089</v>
      </c>
      <c r="H340" s="125">
        <v>44</v>
      </c>
      <c r="I340" s="127">
        <v>587.70000000000005</v>
      </c>
      <c r="J340" s="127">
        <f>I340*H340</f>
        <v>25858.800000000003</v>
      </c>
      <c r="K340" s="127">
        <f>J340+G340</f>
        <v>75947.8</v>
      </c>
      <c r="L340" s="128">
        <v>20250805</v>
      </c>
    </row>
    <row r="341" spans="1:12" x14ac:dyDescent="0.25">
      <c r="A341" s="61" t="s">
        <v>349</v>
      </c>
      <c r="B341" s="49" t="s">
        <v>111</v>
      </c>
      <c r="C341" s="49" t="s">
        <v>26</v>
      </c>
      <c r="D341" s="49" t="s">
        <v>40</v>
      </c>
      <c r="E341" s="84">
        <v>7949533</v>
      </c>
      <c r="F341" s="49">
        <v>1</v>
      </c>
      <c r="G341" s="50">
        <v>50089</v>
      </c>
      <c r="H341" s="49"/>
      <c r="I341" s="50"/>
      <c r="J341" s="50"/>
      <c r="K341" s="50">
        <f>J341+G341</f>
        <v>50089</v>
      </c>
      <c r="L341" s="62">
        <v>20250828</v>
      </c>
    </row>
    <row r="342" spans="1:12" ht="15.75" thickBot="1" x14ac:dyDescent="0.3">
      <c r="A342" s="63" t="s">
        <v>348</v>
      </c>
      <c r="B342" s="64" t="s">
        <v>12</v>
      </c>
      <c r="C342" s="64" t="s">
        <v>26</v>
      </c>
      <c r="D342" s="64" t="s">
        <v>40</v>
      </c>
      <c r="E342" s="89" t="s">
        <v>107</v>
      </c>
      <c r="F342" s="64">
        <v>1</v>
      </c>
      <c r="G342" s="65">
        <v>50089</v>
      </c>
      <c r="H342" s="64"/>
      <c r="I342" s="65"/>
      <c r="J342" s="65"/>
      <c r="K342" s="65">
        <f>J342+G342</f>
        <v>50089</v>
      </c>
      <c r="L342" s="66">
        <v>20250829</v>
      </c>
    </row>
    <row r="345" spans="1:12" x14ac:dyDescent="0.25">
      <c r="E345"/>
      <c r="G345"/>
      <c r="I345"/>
      <c r="J345"/>
      <c r="K345"/>
    </row>
    <row r="346" spans="1:12" ht="15.75" thickBot="1" x14ac:dyDescent="0.3">
      <c r="A346" s="97" t="s">
        <v>0</v>
      </c>
      <c r="B346" s="98" t="s">
        <v>1</v>
      </c>
      <c r="C346" s="98" t="s">
        <v>2</v>
      </c>
      <c r="D346" s="98" t="s">
        <v>3</v>
      </c>
      <c r="E346" s="99" t="s">
        <v>4</v>
      </c>
      <c r="F346" s="98"/>
      <c r="G346" s="100" t="s">
        <v>6</v>
      </c>
      <c r="H346" s="98" t="s">
        <v>7</v>
      </c>
      <c r="I346" s="100" t="s">
        <v>8</v>
      </c>
      <c r="J346" s="100" t="s">
        <v>9</v>
      </c>
      <c r="K346" s="100" t="s">
        <v>10</v>
      </c>
      <c r="L346" s="101" t="s">
        <v>5</v>
      </c>
    </row>
    <row r="347" spans="1:12" ht="15.75" thickBot="1" x14ac:dyDescent="0.3">
      <c r="A347" s="18" t="s">
        <v>351</v>
      </c>
      <c r="B347" s="19" t="s">
        <v>12</v>
      </c>
      <c r="C347" s="19" t="s">
        <v>103</v>
      </c>
      <c r="D347" s="19" t="s">
        <v>34</v>
      </c>
      <c r="E347" s="22" t="s">
        <v>104</v>
      </c>
      <c r="F347" s="19">
        <v>1</v>
      </c>
      <c r="G347" s="95">
        <v>50089</v>
      </c>
      <c r="H347" s="19"/>
      <c r="I347" s="95"/>
      <c r="J347" s="95"/>
      <c r="K347" s="95">
        <v>50089</v>
      </c>
      <c r="L347" s="96">
        <v>20250918</v>
      </c>
    </row>
    <row r="351" spans="1:12" ht="15.75" thickBot="1" x14ac:dyDescent="0.3">
      <c r="A351" s="97" t="s">
        <v>0</v>
      </c>
      <c r="B351" s="98" t="s">
        <v>1</v>
      </c>
      <c r="C351" s="98" t="s">
        <v>2</v>
      </c>
      <c r="D351" s="98" t="s">
        <v>3</v>
      </c>
      <c r="E351" s="99" t="s">
        <v>4</v>
      </c>
      <c r="F351" s="98"/>
      <c r="G351" s="100" t="s">
        <v>6</v>
      </c>
      <c r="H351" s="98" t="s">
        <v>7</v>
      </c>
      <c r="I351" s="100" t="s">
        <v>8</v>
      </c>
      <c r="J351" s="100" t="s">
        <v>9</v>
      </c>
      <c r="K351" s="100" t="s">
        <v>10</v>
      </c>
      <c r="L351" s="101" t="s">
        <v>5</v>
      </c>
    </row>
    <row r="352" spans="1:12" x14ac:dyDescent="0.25">
      <c r="A352" s="57" t="s">
        <v>354</v>
      </c>
      <c r="B352" s="58" t="s">
        <v>12</v>
      </c>
      <c r="C352" s="58" t="s">
        <v>33</v>
      </c>
      <c r="D352" s="58" t="s">
        <v>34</v>
      </c>
      <c r="E352" s="88" t="s">
        <v>164</v>
      </c>
      <c r="F352" s="58">
        <v>1</v>
      </c>
      <c r="G352" s="59">
        <v>35033</v>
      </c>
      <c r="H352" s="58"/>
      <c r="I352" s="59"/>
      <c r="J352" s="59"/>
      <c r="K352" s="59">
        <v>35033</v>
      </c>
      <c r="L352" s="60">
        <v>20250401</v>
      </c>
    </row>
    <row r="353" spans="1:12" x14ac:dyDescent="0.25">
      <c r="A353" s="61" t="s">
        <v>355</v>
      </c>
      <c r="B353" s="49" t="s">
        <v>12</v>
      </c>
      <c r="C353" s="49" t="s">
        <v>33</v>
      </c>
      <c r="D353" s="49" t="s">
        <v>34</v>
      </c>
      <c r="E353" s="84" t="s">
        <v>192</v>
      </c>
      <c r="F353" s="49">
        <v>1</v>
      </c>
      <c r="G353" s="50">
        <v>35033</v>
      </c>
      <c r="H353" s="49"/>
      <c r="I353" s="50"/>
      <c r="J353" s="50"/>
      <c r="K353" s="50">
        <v>35033</v>
      </c>
      <c r="L353" s="62">
        <v>20250401</v>
      </c>
    </row>
    <row r="354" spans="1:12" x14ac:dyDescent="0.25">
      <c r="A354" s="61" t="s">
        <v>356</v>
      </c>
      <c r="B354" s="49" t="s">
        <v>12</v>
      </c>
      <c r="C354" s="49" t="s">
        <v>26</v>
      </c>
      <c r="D354" s="49" t="s">
        <v>40</v>
      </c>
      <c r="E354" s="84" t="s">
        <v>317</v>
      </c>
      <c r="F354" s="49">
        <v>1</v>
      </c>
      <c r="G354" s="50">
        <v>35033</v>
      </c>
      <c r="H354" s="49"/>
      <c r="I354" s="50"/>
      <c r="J354" s="50"/>
      <c r="K354" s="50">
        <v>35033</v>
      </c>
      <c r="L354" s="62">
        <v>20250411</v>
      </c>
    </row>
    <row r="355" spans="1:12" x14ac:dyDescent="0.25">
      <c r="A355" s="61" t="s">
        <v>353</v>
      </c>
      <c r="B355" s="49" t="s">
        <v>12</v>
      </c>
      <c r="C355" s="49" t="s">
        <v>26</v>
      </c>
      <c r="D355" s="49" t="s">
        <v>40</v>
      </c>
      <c r="E355" s="84">
        <v>7949550</v>
      </c>
      <c r="F355" s="49">
        <v>1</v>
      </c>
      <c r="G355" s="50">
        <v>52844</v>
      </c>
      <c r="H355" s="49"/>
      <c r="I355" s="50"/>
      <c r="J355" s="50"/>
      <c r="K355" s="50">
        <v>52844</v>
      </c>
      <c r="L355" s="62">
        <v>20250819</v>
      </c>
    </row>
    <row r="356" spans="1:12" ht="15.75" thickBot="1" x14ac:dyDescent="0.3">
      <c r="A356" s="63" t="s">
        <v>352</v>
      </c>
      <c r="B356" s="64" t="s">
        <v>12</v>
      </c>
      <c r="C356" s="64" t="s">
        <v>26</v>
      </c>
      <c r="D356" s="64" t="s">
        <v>40</v>
      </c>
      <c r="E356" s="89" t="s">
        <v>317</v>
      </c>
      <c r="F356" s="64">
        <v>1</v>
      </c>
      <c r="G356" s="65">
        <v>52844</v>
      </c>
      <c r="H356" s="64"/>
      <c r="I356" s="65"/>
      <c r="J356" s="65"/>
      <c r="K356" s="65">
        <v>52844</v>
      </c>
      <c r="L356" s="66">
        <v>20251014</v>
      </c>
    </row>
    <row r="357" spans="1:12" x14ac:dyDescent="0.25">
      <c r="A357" s="90"/>
      <c r="B357" s="91"/>
      <c r="C357" s="91"/>
      <c r="D357" s="91"/>
      <c r="E357" s="92"/>
      <c r="F357" s="91"/>
      <c r="G357" s="93"/>
      <c r="H357" s="91"/>
      <c r="I357" s="93"/>
      <c r="J357" s="93"/>
      <c r="K357" s="93"/>
      <c r="L357" s="94"/>
    </row>
    <row r="358" spans="1:12" x14ac:dyDescent="0.25">
      <c r="A358" s="97"/>
      <c r="B358" s="98"/>
      <c r="C358" s="98"/>
      <c r="D358" s="98"/>
      <c r="E358" s="99"/>
      <c r="F358" s="98"/>
      <c r="G358" s="100"/>
      <c r="H358" s="98"/>
      <c r="I358" s="100"/>
      <c r="J358" s="100"/>
      <c r="K358" s="100"/>
      <c r="L358" s="101"/>
    </row>
    <row r="359" spans="1:12" x14ac:dyDescent="0.25">
      <c r="A359" s="61" t="s">
        <v>0</v>
      </c>
      <c r="B359" s="49" t="s">
        <v>1</v>
      </c>
      <c r="C359" s="49" t="s">
        <v>2</v>
      </c>
      <c r="D359" s="84" t="s">
        <v>3</v>
      </c>
      <c r="E359" s="49" t="s">
        <v>4</v>
      </c>
      <c r="G359" s="129" t="s">
        <v>6</v>
      </c>
      <c r="H359" s="50" t="s">
        <v>7</v>
      </c>
      <c r="I359" s="50" t="s">
        <v>8</v>
      </c>
      <c r="J359" s="50" t="s">
        <v>9</v>
      </c>
      <c r="K359" s="132" t="s">
        <v>10</v>
      </c>
      <c r="L359" s="50" t="s">
        <v>5</v>
      </c>
    </row>
    <row r="360" spans="1:12" x14ac:dyDescent="0.25">
      <c r="A360" s="61" t="s">
        <v>370</v>
      </c>
      <c r="B360" s="49" t="s">
        <v>12</v>
      </c>
      <c r="C360" s="49" t="s">
        <v>74</v>
      </c>
      <c r="D360" s="84" t="s">
        <v>34</v>
      </c>
      <c r="E360" s="49" t="s">
        <v>54</v>
      </c>
      <c r="F360">
        <v>2</v>
      </c>
      <c r="G360" s="129">
        <v>105688</v>
      </c>
      <c r="H360" s="50"/>
      <c r="I360" s="50"/>
      <c r="J360" s="50"/>
      <c r="K360" s="132">
        <v>105688</v>
      </c>
      <c r="L360" s="62">
        <v>20251107</v>
      </c>
    </row>
    <row r="361" spans="1:12" ht="15.75" thickBot="1" x14ac:dyDescent="0.3">
      <c r="A361" s="63" t="s">
        <v>371</v>
      </c>
      <c r="B361" s="64" t="s">
        <v>12</v>
      </c>
      <c r="C361" s="64" t="s">
        <v>103</v>
      </c>
      <c r="D361" s="89" t="s">
        <v>34</v>
      </c>
      <c r="E361" s="64" t="s">
        <v>104</v>
      </c>
      <c r="F361">
        <v>2</v>
      </c>
      <c r="G361" s="130">
        <v>105688</v>
      </c>
      <c r="H361" s="65"/>
      <c r="I361" s="65"/>
      <c r="J361" s="65"/>
      <c r="K361" s="133">
        <v>105688</v>
      </c>
      <c r="L361" s="62">
        <v>20251107</v>
      </c>
    </row>
    <row r="362" spans="1:12" x14ac:dyDescent="0.25">
      <c r="A362" s="61" t="s">
        <v>368</v>
      </c>
      <c r="B362" s="49" t="s">
        <v>12</v>
      </c>
      <c r="C362" s="49" t="s">
        <v>74</v>
      </c>
      <c r="D362" s="84" t="s">
        <v>34</v>
      </c>
      <c r="E362" s="49" t="s">
        <v>369</v>
      </c>
      <c r="F362">
        <v>1</v>
      </c>
      <c r="G362" s="129">
        <v>52844</v>
      </c>
      <c r="H362" s="50"/>
      <c r="I362" s="50"/>
      <c r="J362" s="50"/>
      <c r="K362" s="132">
        <v>52844</v>
      </c>
      <c r="L362" s="62">
        <v>20251111</v>
      </c>
    </row>
    <row r="363" spans="1:12" x14ac:dyDescent="0.25">
      <c r="A363" s="61" t="s">
        <v>367</v>
      </c>
      <c r="B363" s="49" t="s">
        <v>12</v>
      </c>
      <c r="C363" s="49" t="s">
        <v>103</v>
      </c>
      <c r="D363" s="84" t="s">
        <v>34</v>
      </c>
      <c r="E363" s="49" t="s">
        <v>104</v>
      </c>
      <c r="F363">
        <v>1</v>
      </c>
      <c r="G363" s="129">
        <v>52844</v>
      </c>
      <c r="H363" s="50"/>
      <c r="I363" s="50"/>
      <c r="J363" s="50"/>
      <c r="K363" s="132">
        <v>52844</v>
      </c>
      <c r="L363" s="62">
        <v>20251117</v>
      </c>
    </row>
    <row r="364" spans="1:12" ht="15.75" thickBot="1" x14ac:dyDescent="0.3">
      <c r="A364" s="63" t="s">
        <v>361</v>
      </c>
      <c r="B364" s="64" t="s">
        <v>12</v>
      </c>
      <c r="C364" s="64" t="s">
        <v>74</v>
      </c>
      <c r="D364" s="89" t="s">
        <v>34</v>
      </c>
      <c r="E364" s="64" t="s">
        <v>58</v>
      </c>
      <c r="F364">
        <v>2</v>
      </c>
      <c r="G364" s="130">
        <v>105688</v>
      </c>
      <c r="H364" s="65"/>
      <c r="I364" s="65"/>
      <c r="J364" s="65"/>
      <c r="K364" s="133">
        <v>105688</v>
      </c>
      <c r="L364" s="62">
        <v>20251126</v>
      </c>
    </row>
    <row r="365" spans="1:12" x14ac:dyDescent="0.25">
      <c r="A365" s="61" t="s">
        <v>358</v>
      </c>
      <c r="B365" s="49" t="s">
        <v>111</v>
      </c>
      <c r="C365" s="49" t="s">
        <v>130</v>
      </c>
      <c r="D365" s="84" t="s">
        <v>131</v>
      </c>
      <c r="E365" s="49" t="s">
        <v>262</v>
      </c>
      <c r="F365">
        <v>2</v>
      </c>
      <c r="G365" s="129">
        <v>105688</v>
      </c>
      <c r="H365" s="50"/>
      <c r="I365" s="50"/>
      <c r="J365" s="50"/>
      <c r="K365" s="132">
        <v>105688</v>
      </c>
      <c r="L365" s="62">
        <v>20251127</v>
      </c>
    </row>
    <row r="366" spans="1:12" x14ac:dyDescent="0.25">
      <c r="A366" s="61" t="s">
        <v>359</v>
      </c>
      <c r="B366" s="49" t="s">
        <v>111</v>
      </c>
      <c r="C366" s="49" t="s">
        <v>130</v>
      </c>
      <c r="D366" s="84" t="s">
        <v>131</v>
      </c>
      <c r="E366" s="49" t="s">
        <v>360</v>
      </c>
      <c r="F366">
        <v>2</v>
      </c>
      <c r="G366" s="129">
        <v>105688</v>
      </c>
      <c r="H366" s="50"/>
      <c r="I366" s="50"/>
      <c r="J366" s="50"/>
      <c r="K366" s="132">
        <v>105688</v>
      </c>
      <c r="L366" s="62">
        <v>20251127</v>
      </c>
    </row>
    <row r="367" spans="1:12" x14ac:dyDescent="0.25">
      <c r="A367" s="97"/>
      <c r="B367" s="98"/>
      <c r="C367" s="98"/>
      <c r="D367" s="99"/>
      <c r="E367" s="98"/>
      <c r="G367" s="131"/>
      <c r="H367" s="100"/>
      <c r="I367" s="100"/>
      <c r="J367" s="100"/>
      <c r="K367" s="134"/>
      <c r="L367" s="62"/>
    </row>
    <row r="368" spans="1:12" ht="15.75" thickBot="1" x14ac:dyDescent="0.3">
      <c r="A368" s="63" t="s">
        <v>372</v>
      </c>
      <c r="B368" s="64" t="s">
        <v>11</v>
      </c>
      <c r="C368" s="64" t="s">
        <v>74</v>
      </c>
      <c r="D368" s="89" t="s">
        <v>34</v>
      </c>
      <c r="E368" s="64" t="s">
        <v>373</v>
      </c>
      <c r="F368">
        <v>1</v>
      </c>
      <c r="G368" s="130">
        <v>26412</v>
      </c>
      <c r="H368" s="65"/>
      <c r="I368" s="65"/>
      <c r="J368" s="65"/>
      <c r="K368" s="133">
        <v>26412</v>
      </c>
      <c r="L368" s="62">
        <v>20251105</v>
      </c>
    </row>
    <row r="369" spans="1:12" x14ac:dyDescent="0.25">
      <c r="A369" s="61" t="s">
        <v>363</v>
      </c>
      <c r="B369" s="49" t="s">
        <v>11</v>
      </c>
      <c r="C369" s="49" t="s">
        <v>26</v>
      </c>
      <c r="D369" s="84" t="s">
        <v>40</v>
      </c>
      <c r="E369" s="49" t="s">
        <v>107</v>
      </c>
      <c r="F369">
        <v>1</v>
      </c>
      <c r="G369" s="129">
        <v>26412</v>
      </c>
      <c r="H369" s="50"/>
      <c r="I369" s="50"/>
      <c r="J369" s="50"/>
      <c r="K369" s="132">
        <v>26412</v>
      </c>
      <c r="L369" s="62">
        <v>20251113</v>
      </c>
    </row>
    <row r="370" spans="1:12" x14ac:dyDescent="0.25">
      <c r="A370" s="61" t="s">
        <v>365</v>
      </c>
      <c r="B370" s="49" t="s">
        <v>11</v>
      </c>
      <c r="C370" s="49" t="s">
        <v>26</v>
      </c>
      <c r="D370" s="84" t="s">
        <v>40</v>
      </c>
      <c r="E370" s="49" t="s">
        <v>317</v>
      </c>
      <c r="F370">
        <v>1</v>
      </c>
      <c r="G370" s="129">
        <v>26412</v>
      </c>
      <c r="H370" s="50"/>
      <c r="I370" s="50"/>
      <c r="J370" s="50"/>
      <c r="K370" s="132">
        <v>26412</v>
      </c>
      <c r="L370" s="62">
        <v>20251113</v>
      </c>
    </row>
    <row r="371" spans="1:12" ht="15.75" thickBot="1" x14ac:dyDescent="0.3">
      <c r="A371" s="63" t="s">
        <v>366</v>
      </c>
      <c r="B371" s="64" t="s">
        <v>11</v>
      </c>
      <c r="C371" s="64" t="s">
        <v>26</v>
      </c>
      <c r="D371" s="89" t="s">
        <v>40</v>
      </c>
      <c r="E371" s="89">
        <v>7949533</v>
      </c>
      <c r="F371">
        <v>1</v>
      </c>
      <c r="G371" s="130">
        <v>26412</v>
      </c>
      <c r="H371" s="65"/>
      <c r="I371" s="65"/>
      <c r="J371" s="65"/>
      <c r="K371" s="133">
        <v>26412</v>
      </c>
      <c r="L371" s="62">
        <v>20251113</v>
      </c>
    </row>
    <row r="372" spans="1:12" x14ac:dyDescent="0.25">
      <c r="A372" s="61" t="s">
        <v>362</v>
      </c>
      <c r="B372" s="49" t="s">
        <v>11</v>
      </c>
      <c r="C372" s="49" t="s">
        <v>100</v>
      </c>
      <c r="D372" s="84" t="s">
        <v>203</v>
      </c>
      <c r="E372" s="49" t="s">
        <v>101</v>
      </c>
      <c r="F372">
        <v>1</v>
      </c>
      <c r="G372" s="129">
        <v>26412</v>
      </c>
      <c r="H372" s="50"/>
      <c r="I372" s="50"/>
      <c r="J372" s="50"/>
      <c r="K372" s="132">
        <v>26412</v>
      </c>
      <c r="L372" s="62">
        <v>20251120</v>
      </c>
    </row>
    <row r="373" spans="1:12" x14ac:dyDescent="0.25">
      <c r="A373" s="61" t="s">
        <v>364</v>
      </c>
      <c r="B373" s="49" t="s">
        <v>11</v>
      </c>
      <c r="C373" s="49" t="s">
        <v>26</v>
      </c>
      <c r="D373" s="84" t="s">
        <v>40</v>
      </c>
      <c r="E373" s="49" t="s">
        <v>157</v>
      </c>
      <c r="F373">
        <v>1</v>
      </c>
      <c r="G373" s="129">
        <v>26412</v>
      </c>
      <c r="H373" s="50"/>
      <c r="I373" s="50"/>
      <c r="J373" s="50"/>
      <c r="K373" s="132">
        <v>26412</v>
      </c>
      <c r="L373" s="62">
        <v>20251120</v>
      </c>
    </row>
    <row r="377" spans="1:12" ht="15.75" thickBot="1" x14ac:dyDescent="0.3">
      <c r="A377" s="97" t="s">
        <v>0</v>
      </c>
      <c r="B377" s="98" t="s">
        <v>1</v>
      </c>
      <c r="C377" s="98" t="s">
        <v>2</v>
      </c>
      <c r="D377" s="98" t="s">
        <v>3</v>
      </c>
      <c r="E377" s="99" t="s">
        <v>4</v>
      </c>
      <c r="F377" s="98"/>
      <c r="G377" s="100" t="s">
        <v>6</v>
      </c>
      <c r="H377" s="98" t="s">
        <v>7</v>
      </c>
      <c r="I377" s="100" t="s">
        <v>8</v>
      </c>
      <c r="J377" s="100" t="s">
        <v>9</v>
      </c>
      <c r="K377" s="100" t="s">
        <v>10</v>
      </c>
      <c r="L377" s="101" t="s">
        <v>5</v>
      </c>
    </row>
    <row r="378" spans="1:12" x14ac:dyDescent="0.25">
      <c r="A378" s="57" t="s">
        <v>382</v>
      </c>
      <c r="B378" s="58" t="s">
        <v>111</v>
      </c>
      <c r="C378" s="58" t="s">
        <v>130</v>
      </c>
      <c r="D378" s="58" t="s">
        <v>131</v>
      </c>
      <c r="E378" s="88" t="s">
        <v>260</v>
      </c>
      <c r="F378" s="58">
        <v>1</v>
      </c>
      <c r="G378" s="59">
        <v>52844</v>
      </c>
      <c r="H378" s="58"/>
      <c r="I378" s="59"/>
      <c r="J378" s="59"/>
      <c r="K378" s="59">
        <f t="shared" ref="K378:K384" si="6">J378+G378</f>
        <v>52844</v>
      </c>
      <c r="L378" s="60">
        <v>20251127</v>
      </c>
    </row>
    <row r="379" spans="1:12" x14ac:dyDescent="0.25">
      <c r="A379" s="61" t="s">
        <v>386</v>
      </c>
      <c r="B379" s="49" t="s">
        <v>111</v>
      </c>
      <c r="C379" s="49" t="s">
        <v>130</v>
      </c>
      <c r="D379" s="49" t="s">
        <v>131</v>
      </c>
      <c r="E379" s="84" t="s">
        <v>387</v>
      </c>
      <c r="F379" s="49">
        <v>1</v>
      </c>
      <c r="G379" s="50">
        <v>52844</v>
      </c>
      <c r="H379" s="49"/>
      <c r="I379" s="50"/>
      <c r="J379" s="50"/>
      <c r="K379" s="50">
        <f t="shared" si="6"/>
        <v>52844</v>
      </c>
      <c r="L379" s="62">
        <v>20251127</v>
      </c>
    </row>
    <row r="380" spans="1:12" x14ac:dyDescent="0.25">
      <c r="A380" s="61" t="s">
        <v>383</v>
      </c>
      <c r="B380" s="49" t="s">
        <v>111</v>
      </c>
      <c r="C380" s="49" t="s">
        <v>130</v>
      </c>
      <c r="D380" s="49" t="s">
        <v>131</v>
      </c>
      <c r="E380" s="84" t="s">
        <v>134</v>
      </c>
      <c r="F380" s="49">
        <v>1</v>
      </c>
      <c r="G380" s="50">
        <v>52844</v>
      </c>
      <c r="H380" s="49"/>
      <c r="I380" s="50"/>
      <c r="J380" s="50"/>
      <c r="K380" s="50">
        <f t="shared" si="6"/>
        <v>52844</v>
      </c>
      <c r="L380" s="62">
        <v>20251128</v>
      </c>
    </row>
    <row r="381" spans="1:12" x14ac:dyDescent="0.25">
      <c r="A381" s="61" t="s">
        <v>384</v>
      </c>
      <c r="B381" s="49" t="s">
        <v>111</v>
      </c>
      <c r="C381" s="49" t="s">
        <v>130</v>
      </c>
      <c r="D381" s="49" t="s">
        <v>131</v>
      </c>
      <c r="E381" s="84" t="s">
        <v>385</v>
      </c>
      <c r="F381" s="49">
        <v>1</v>
      </c>
      <c r="G381" s="50">
        <v>52844</v>
      </c>
      <c r="H381" s="49"/>
      <c r="I381" s="50"/>
      <c r="J381" s="50"/>
      <c r="K381" s="50">
        <f t="shared" si="6"/>
        <v>52844</v>
      </c>
      <c r="L381" s="62">
        <v>20251128</v>
      </c>
    </row>
    <row r="382" spans="1:12" x14ac:dyDescent="0.25">
      <c r="A382" s="61" t="s">
        <v>381</v>
      </c>
      <c r="B382" s="49" t="s">
        <v>12</v>
      </c>
      <c r="C382" s="49" t="s">
        <v>26</v>
      </c>
      <c r="D382" s="49" t="s">
        <v>40</v>
      </c>
      <c r="E382" s="84" t="s">
        <v>107</v>
      </c>
      <c r="F382" s="49">
        <v>1</v>
      </c>
      <c r="G382" s="50">
        <v>52844</v>
      </c>
      <c r="H382" s="49"/>
      <c r="I382" s="50"/>
      <c r="J382" s="50"/>
      <c r="K382" s="50">
        <f t="shared" si="6"/>
        <v>52844</v>
      </c>
      <c r="L382" s="62">
        <v>20251209</v>
      </c>
    </row>
    <row r="383" spans="1:12" x14ac:dyDescent="0.25">
      <c r="A383" s="61" t="s">
        <v>378</v>
      </c>
      <c r="B383" s="49" t="s">
        <v>12</v>
      </c>
      <c r="C383" s="49" t="s">
        <v>74</v>
      </c>
      <c r="D383" s="49" t="s">
        <v>34</v>
      </c>
      <c r="E383" s="84" t="s">
        <v>58</v>
      </c>
      <c r="F383" s="49">
        <v>1</v>
      </c>
      <c r="G383" s="50">
        <v>52844</v>
      </c>
      <c r="H383" s="49"/>
      <c r="I383" s="50"/>
      <c r="J383" s="50"/>
      <c r="K383" s="50">
        <f t="shared" si="6"/>
        <v>52844</v>
      </c>
      <c r="L383" s="62">
        <v>20251212</v>
      </c>
    </row>
    <row r="384" spans="1:12" ht="15.75" thickBot="1" x14ac:dyDescent="0.3">
      <c r="A384" s="63" t="s">
        <v>377</v>
      </c>
      <c r="B384" s="64" t="s">
        <v>310</v>
      </c>
      <c r="C384" s="64" t="s">
        <v>28</v>
      </c>
      <c r="D384" s="64" t="s">
        <v>71</v>
      </c>
      <c r="E384" s="89" t="s">
        <v>72</v>
      </c>
      <c r="F384" s="64">
        <v>1</v>
      </c>
      <c r="G384" s="65">
        <v>52844</v>
      </c>
      <c r="H384" s="64"/>
      <c r="I384" s="65"/>
      <c r="J384" s="65"/>
      <c r="K384" s="65">
        <f t="shared" si="6"/>
        <v>52844</v>
      </c>
      <c r="L384" s="66">
        <v>20251217</v>
      </c>
    </row>
    <row r="385" spans="1:12" ht="15.75" thickBot="1" x14ac:dyDescent="0.3">
      <c r="A385" s="102"/>
      <c r="B385" s="103"/>
      <c r="C385" s="103"/>
      <c r="D385" s="103"/>
      <c r="E385" s="104"/>
      <c r="F385" s="103"/>
      <c r="G385" s="105"/>
      <c r="H385" s="103"/>
      <c r="I385" s="105"/>
      <c r="J385" s="105"/>
      <c r="K385" s="105"/>
      <c r="L385" s="106"/>
    </row>
    <row r="386" spans="1:12" x14ac:dyDescent="0.25">
      <c r="A386" s="57" t="s">
        <v>379</v>
      </c>
      <c r="B386" s="58" t="s">
        <v>11</v>
      </c>
      <c r="C386" s="58" t="s">
        <v>103</v>
      </c>
      <c r="D386" s="58" t="s">
        <v>34</v>
      </c>
      <c r="E386" s="88" t="s">
        <v>104</v>
      </c>
      <c r="F386" s="58">
        <v>1</v>
      </c>
      <c r="G386" s="59">
        <v>26412</v>
      </c>
      <c r="H386" s="58"/>
      <c r="I386" s="59"/>
      <c r="J386" s="59"/>
      <c r="K386" s="59">
        <f>J386+G386</f>
        <v>26412</v>
      </c>
      <c r="L386" s="60">
        <v>20251211</v>
      </c>
    </row>
    <row r="387" spans="1:12" x14ac:dyDescent="0.25">
      <c r="A387" s="61" t="s">
        <v>380</v>
      </c>
      <c r="B387" s="49" t="s">
        <v>11</v>
      </c>
      <c r="C387" s="49" t="s">
        <v>28</v>
      </c>
      <c r="D387" s="49" t="s">
        <v>71</v>
      </c>
      <c r="E387" s="84" t="s">
        <v>72</v>
      </c>
      <c r="F387" s="49">
        <v>1</v>
      </c>
      <c r="G387" s="50">
        <v>26412</v>
      </c>
      <c r="H387" s="49"/>
      <c r="I387" s="50"/>
      <c r="J387" s="50"/>
      <c r="K387" s="50">
        <f>J387+G387</f>
        <v>26412</v>
      </c>
      <c r="L387" s="62">
        <v>20251211</v>
      </c>
    </row>
    <row r="388" spans="1:12" x14ac:dyDescent="0.25">
      <c r="A388" s="61" t="s">
        <v>375</v>
      </c>
      <c r="B388" s="49" t="s">
        <v>11</v>
      </c>
      <c r="C388" s="49" t="s">
        <v>33</v>
      </c>
      <c r="D388" s="49" t="s">
        <v>34</v>
      </c>
      <c r="E388" s="84" t="s">
        <v>162</v>
      </c>
      <c r="F388" s="49">
        <v>1</v>
      </c>
      <c r="G388" s="50">
        <v>26412</v>
      </c>
      <c r="H388" s="49">
        <v>19</v>
      </c>
      <c r="I388" s="50">
        <v>627.1</v>
      </c>
      <c r="J388" s="50">
        <f>I388*H388</f>
        <v>11914.9</v>
      </c>
      <c r="K388" s="50">
        <f>J388+G388</f>
        <v>38326.9</v>
      </c>
      <c r="L388" s="62">
        <v>20251215</v>
      </c>
    </row>
    <row r="389" spans="1:12" x14ac:dyDescent="0.25">
      <c r="A389" s="61" t="s">
        <v>376</v>
      </c>
      <c r="B389" s="49" t="s">
        <v>11</v>
      </c>
      <c r="C389" s="49" t="s">
        <v>74</v>
      </c>
      <c r="D389" s="49" t="s">
        <v>34</v>
      </c>
      <c r="E389" s="84" t="s">
        <v>369</v>
      </c>
      <c r="F389" s="49">
        <v>1</v>
      </c>
      <c r="G389" s="50">
        <v>26412</v>
      </c>
      <c r="H389" s="49"/>
      <c r="I389" s="50"/>
      <c r="J389" s="50"/>
      <c r="K389" s="50">
        <f>J389+G389</f>
        <v>26412</v>
      </c>
      <c r="L389" s="62">
        <v>20251218</v>
      </c>
    </row>
    <row r="390" spans="1:12" ht="15.75" thickBot="1" x14ac:dyDescent="0.3">
      <c r="A390" s="63" t="s">
        <v>374</v>
      </c>
      <c r="B390" s="64" t="s">
        <v>11</v>
      </c>
      <c r="C390" s="64" t="s">
        <v>33</v>
      </c>
      <c r="D390" s="64" t="s">
        <v>34</v>
      </c>
      <c r="E390" s="89" t="s">
        <v>164</v>
      </c>
      <c r="F390" s="64">
        <v>1</v>
      </c>
      <c r="G390" s="65">
        <v>26412</v>
      </c>
      <c r="H390" s="64">
        <v>19</v>
      </c>
      <c r="I390" s="65">
        <v>627.1</v>
      </c>
      <c r="J390" s="65">
        <f>I390*H390</f>
        <v>11914.9</v>
      </c>
      <c r="K390" s="65">
        <f>J390+G390</f>
        <v>38326.9</v>
      </c>
      <c r="L390" s="66">
        <v>20251229</v>
      </c>
    </row>
    <row r="392" spans="1:12" ht="15.75" thickBot="1" x14ac:dyDescent="0.3">
      <c r="A392" s="97" t="s">
        <v>0</v>
      </c>
      <c r="B392" s="98" t="s">
        <v>1</v>
      </c>
      <c r="C392" s="98" t="s">
        <v>2</v>
      </c>
      <c r="D392" s="98" t="s">
        <v>3</v>
      </c>
      <c r="E392" s="99" t="s">
        <v>4</v>
      </c>
      <c r="F392" s="98"/>
      <c r="G392" s="100" t="s">
        <v>6</v>
      </c>
      <c r="H392" s="98" t="s">
        <v>7</v>
      </c>
      <c r="I392" s="100" t="s">
        <v>8</v>
      </c>
      <c r="J392" s="100" t="s">
        <v>9</v>
      </c>
      <c r="K392" s="100" t="s">
        <v>10</v>
      </c>
      <c r="L392" s="101" t="s">
        <v>5</v>
      </c>
    </row>
    <row r="393" spans="1:12" x14ac:dyDescent="0.25">
      <c r="A393" s="57" t="s">
        <v>389</v>
      </c>
      <c r="B393" s="58" t="s">
        <v>111</v>
      </c>
      <c r="C393" s="58" t="s">
        <v>100</v>
      </c>
      <c r="D393" s="58" t="s">
        <v>203</v>
      </c>
      <c r="E393" s="88" t="s">
        <v>101</v>
      </c>
      <c r="F393" s="58">
        <v>1</v>
      </c>
      <c r="G393" s="59">
        <v>52844</v>
      </c>
      <c r="H393" s="58"/>
      <c r="I393" s="59"/>
      <c r="J393" s="59"/>
      <c r="K393" s="59">
        <v>52844</v>
      </c>
      <c r="L393" s="60">
        <v>20260106</v>
      </c>
    </row>
    <row r="394" spans="1:12" x14ac:dyDescent="0.25">
      <c r="A394" s="61" t="s">
        <v>390</v>
      </c>
      <c r="B394" s="49" t="s">
        <v>111</v>
      </c>
      <c r="C394" s="49" t="s">
        <v>100</v>
      </c>
      <c r="D394" s="49" t="s">
        <v>203</v>
      </c>
      <c r="E394" s="84" t="s">
        <v>238</v>
      </c>
      <c r="F394" s="49">
        <v>1</v>
      </c>
      <c r="G394" s="50">
        <v>52844</v>
      </c>
      <c r="H394" s="49"/>
      <c r="I394" s="50"/>
      <c r="J394" s="50"/>
      <c r="K394" s="50">
        <v>52844</v>
      </c>
      <c r="L394" s="62">
        <v>20260106</v>
      </c>
    </row>
    <row r="395" spans="1:12" ht="15.75" thickBot="1" x14ac:dyDescent="0.3">
      <c r="A395" s="63" t="s">
        <v>388</v>
      </c>
      <c r="B395" s="64" t="s">
        <v>12</v>
      </c>
      <c r="C395" s="64" t="s">
        <v>33</v>
      </c>
      <c r="D395" s="64" t="s">
        <v>34</v>
      </c>
      <c r="E395" s="89" t="s">
        <v>192</v>
      </c>
      <c r="F395" s="64">
        <v>1</v>
      </c>
      <c r="G395" s="65">
        <v>52844</v>
      </c>
      <c r="H395" s="64"/>
      <c r="I395" s="65"/>
      <c r="J395" s="65"/>
      <c r="K395" s="65">
        <v>52844</v>
      </c>
      <c r="L395" s="66">
        <v>20260116</v>
      </c>
    </row>
    <row r="398" spans="1:12" ht="15.75" thickBot="1" x14ac:dyDescent="0.3">
      <c r="A398" s="97" t="s">
        <v>0</v>
      </c>
      <c r="B398" s="98" t="s">
        <v>1</v>
      </c>
      <c r="C398" s="98" t="s">
        <v>2</v>
      </c>
      <c r="D398" s="98" t="s">
        <v>3</v>
      </c>
      <c r="E398" s="99" t="s">
        <v>4</v>
      </c>
      <c r="F398" s="98"/>
      <c r="G398" s="100" t="s">
        <v>6</v>
      </c>
      <c r="H398" s="98" t="s">
        <v>7</v>
      </c>
      <c r="I398" s="100" t="s">
        <v>8</v>
      </c>
      <c r="J398" s="100" t="s">
        <v>9</v>
      </c>
      <c r="K398" s="100" t="s">
        <v>10</v>
      </c>
      <c r="L398" s="101" t="s">
        <v>5</v>
      </c>
    </row>
    <row r="399" spans="1:12" ht="15.75" thickBot="1" x14ac:dyDescent="0.3">
      <c r="A399" s="18" t="s">
        <v>391</v>
      </c>
      <c r="B399" s="19" t="s">
        <v>12</v>
      </c>
      <c r="C399" s="19" t="s">
        <v>74</v>
      </c>
      <c r="D399" s="19" t="s">
        <v>34</v>
      </c>
      <c r="E399" s="22" t="s">
        <v>54</v>
      </c>
      <c r="F399" s="19">
        <v>1</v>
      </c>
      <c r="G399" s="95">
        <v>56596</v>
      </c>
      <c r="H399" s="19"/>
      <c r="I399" s="95"/>
      <c r="J399" s="95"/>
      <c r="K399" s="95">
        <v>56596</v>
      </c>
      <c r="L399" s="96">
        <v>20260203</v>
      </c>
    </row>
    <row r="401" spans="1:12" s="153" customFormat="1" ht="15.75" thickBot="1" x14ac:dyDescent="0.3">
      <c r="A401" s="97" t="s">
        <v>0</v>
      </c>
      <c r="B401" s="98" t="s">
        <v>1</v>
      </c>
      <c r="C401" s="98" t="s">
        <v>2</v>
      </c>
      <c r="D401" s="98" t="s">
        <v>3</v>
      </c>
      <c r="E401" s="99" t="s">
        <v>4</v>
      </c>
      <c r="F401" s="98"/>
      <c r="G401" s="100" t="s">
        <v>6</v>
      </c>
      <c r="H401" s="98" t="s">
        <v>7</v>
      </c>
      <c r="I401" s="100" t="s">
        <v>8</v>
      </c>
      <c r="J401" s="100" t="s">
        <v>9</v>
      </c>
      <c r="K401" s="100" t="s">
        <v>10</v>
      </c>
      <c r="L401" s="101" t="s">
        <v>5</v>
      </c>
    </row>
    <row r="402" spans="1:12" s="153" customFormat="1" ht="15.75" thickBot="1" x14ac:dyDescent="0.3">
      <c r="A402" s="18" t="s">
        <v>392</v>
      </c>
      <c r="B402" s="19" t="s">
        <v>111</v>
      </c>
      <c r="C402" s="19" t="s">
        <v>26</v>
      </c>
      <c r="D402" s="19" t="s">
        <v>40</v>
      </c>
      <c r="E402" s="22" t="s">
        <v>393</v>
      </c>
      <c r="F402" s="19">
        <v>1</v>
      </c>
      <c r="G402" s="95">
        <v>61633</v>
      </c>
      <c r="H402" s="19"/>
      <c r="I402" s="95"/>
      <c r="J402" s="95"/>
      <c r="K402" s="95">
        <v>61633</v>
      </c>
      <c r="L402" s="96">
        <v>20260423</v>
      </c>
    </row>
  </sheetData>
  <sortState xmlns:xlrd2="http://schemas.microsoft.com/office/spreadsheetml/2017/richdata2" ref="A393:L395">
    <sortCondition ref="L393:L395"/>
  </sortState>
  <hyperlinks>
    <hyperlink ref="A18" r:id="rId1" display="https://webagentes.canaldirecto.com.ar/incidents/view/682215-8" xr:uid="{00000000-0004-0000-0200-000000000000}"/>
    <hyperlink ref="A19" r:id="rId2" display="https://webagentes.canaldirecto.com.ar/incidents/view/681769-7" xr:uid="{00000000-0004-0000-0200-000001000000}"/>
    <hyperlink ref="A16" r:id="rId3" display="https://webagentes.canaldirecto.com.ar/incidents/view/680660-0" xr:uid="{00000000-0004-0000-0200-000002000000}"/>
    <hyperlink ref="A17" r:id="rId4" display="https://webagentes.canaldirecto.com.ar/incidents/view/679981-4" xr:uid="{00000000-0004-0000-0200-000003000000}"/>
    <hyperlink ref="A4" r:id="rId5" display="https://webagentes.canaldirecto.com.ar/incidents/view/679145-0" xr:uid="{00000000-0004-0000-0200-000004000000}"/>
    <hyperlink ref="A6" r:id="rId6" display="https://webagentes.canaldirecto.com.ar/incidents/view/678550-1" xr:uid="{00000000-0004-0000-0200-000005000000}"/>
    <hyperlink ref="A7" r:id="rId7" display="https://webagentes.canaldirecto.com.ar/incidents/view/678549-5" xr:uid="{00000000-0004-0000-0200-000006000000}"/>
    <hyperlink ref="A8" r:id="rId8" display="https://webagentes.canaldirecto.com.ar/incidents/view/678548-6" xr:uid="{00000000-0004-0000-0200-000007000000}"/>
    <hyperlink ref="A9" r:id="rId9" display="https://webagentes.canaldirecto.com.ar/incidents/view/678547-7" xr:uid="{00000000-0004-0000-0200-000008000000}"/>
    <hyperlink ref="A10" r:id="rId10" display="https://webagentes.canaldirecto.com.ar/incidents/view/678546-8" xr:uid="{00000000-0004-0000-0200-000009000000}"/>
    <hyperlink ref="A11" r:id="rId11" display="https://webagentes.canaldirecto.com.ar/incidents/view/678545-9" xr:uid="{00000000-0004-0000-0200-00000A000000}"/>
    <hyperlink ref="A12" r:id="rId12" display="https://webagentes.canaldirecto.com.ar/incidents/view/678544-0" xr:uid="{00000000-0004-0000-0200-00000B000000}"/>
    <hyperlink ref="A13" r:id="rId13" display="https://webagentes.canaldirecto.com.ar/incidents/view/678543-1" xr:uid="{00000000-0004-0000-0200-00000C000000}"/>
    <hyperlink ref="A14" r:id="rId14" display="https://webagentes.canaldirecto.com.ar/incidents/view/678542-2" xr:uid="{00000000-0004-0000-0200-00000D000000}"/>
    <hyperlink ref="A15" r:id="rId15" display="https://webagentes.canaldirecto.com.ar/incidents/view/678541-3" xr:uid="{00000000-0004-0000-0200-00000E000000}"/>
    <hyperlink ref="A5" r:id="rId16" display="https://webagentes.canaldirecto.com.ar/incidents/view/678306-2" xr:uid="{00000000-0004-0000-0200-00000F000000}"/>
    <hyperlink ref="A3" r:id="rId17" display="https://webagentes.canaldirecto.com.ar/incidents/view/672383-9" xr:uid="{00000000-0004-0000-0200-000010000000}"/>
    <hyperlink ref="A2" r:id="rId18" display="https://webagentes.canaldirecto.com.ar/incidents/view/670897-3" xr:uid="{00000000-0004-0000-0200-000011000000}"/>
    <hyperlink ref="A21" r:id="rId19" display="https://webagentes.canaldirecto.com.ar/incidents/view/668619-4" xr:uid="{00000000-0004-0000-0200-000012000000}"/>
    <hyperlink ref="A22" r:id="rId20" display="https://webagentes.canaldirecto.com.ar/incidents/view/668618-5" xr:uid="{00000000-0004-0000-0200-000013000000}"/>
    <hyperlink ref="A23" r:id="rId21" display="https://webagentes.canaldirecto.com.ar/incidents/view/668617-6" xr:uid="{00000000-0004-0000-0200-000014000000}"/>
    <hyperlink ref="A24" r:id="rId22" display="https://webagentes.canaldirecto.com.ar/incidents/view/668614-9" xr:uid="{00000000-0004-0000-0200-000015000000}"/>
    <hyperlink ref="A25" r:id="rId23" display="https://webagentes.canaldirecto.com.ar/incidents/view/668613-0" xr:uid="{00000000-0004-0000-0200-000016000000}"/>
    <hyperlink ref="A26" r:id="rId24" display="https://webagentes.canaldirecto.com.ar/incidents/view/668611-2" xr:uid="{00000000-0004-0000-0200-000017000000}"/>
    <hyperlink ref="A27" r:id="rId25" display="https://webagentes.canaldirecto.com.ar/incidents/view/668610-3" xr:uid="{00000000-0004-0000-0200-000018000000}"/>
    <hyperlink ref="A28" r:id="rId26" display="https://webagentes.canaldirecto.com.ar/incidents/view/668609-7" xr:uid="{00000000-0004-0000-0200-000019000000}"/>
    <hyperlink ref="A35" r:id="rId27" display="https://webagentes.canaldirecto.com.ar/incidents/view/689349-3" xr:uid="{00000000-0004-0000-0200-00001A000000}"/>
    <hyperlink ref="A33" r:id="rId28" display="https://webagentes.canaldirecto.com.ar/incidents/view/689232-4" xr:uid="{00000000-0004-0000-0200-00001B000000}"/>
    <hyperlink ref="A32" r:id="rId29" display="https://webagentes.canaldirecto.com.ar/incidents/view/688712-8" xr:uid="{00000000-0004-0000-0200-00001C000000}"/>
    <hyperlink ref="A31" r:id="rId30" display="https://webagentes.canaldirecto.com.ar/incidents/view/683711-4" xr:uid="{00000000-0004-0000-0200-00001D000000}"/>
    <hyperlink ref="A41" r:id="rId31" display="https://webagentes.canaldirecto.com.ar/incidents/view/695152-0" xr:uid="{00000000-0004-0000-0200-00001E000000}"/>
    <hyperlink ref="A40" r:id="rId32" display="https://webagentes.canaldirecto.com.ar/incidents/view/694993-2" xr:uid="{00000000-0004-0000-0200-00001F000000}"/>
    <hyperlink ref="A39" r:id="rId33" display="https://webagentes.canaldirecto.com.ar/incidents/view/693672-5" xr:uid="{00000000-0004-0000-0200-000020000000}"/>
    <hyperlink ref="A43" r:id="rId34" display="https://webagentes.canaldirecto.com.ar/incidents/view/689309-5" xr:uid="{00000000-0004-0000-0200-000021000000}"/>
    <hyperlink ref="A50" r:id="rId35" display="https://webagentes.canaldirecto.com.ar/incidents/view/699252-7" xr:uid="{00000000-0004-0000-0200-000022000000}"/>
    <hyperlink ref="A49" r:id="rId36" display="https://webagentes.canaldirecto.com.ar/incidents/view/698740-0" xr:uid="{00000000-0004-0000-0200-000023000000}"/>
    <hyperlink ref="A46" r:id="rId37" display="https://webagentes.canaldirecto.com.ar/incidents/view/696528-6" xr:uid="{00000000-0004-0000-0200-000024000000}"/>
    <hyperlink ref="A47" r:id="rId38" display="https://webagentes.canaldirecto.com.ar/incidents/view/696527-7" xr:uid="{00000000-0004-0000-0200-000025000000}"/>
    <hyperlink ref="A52" r:id="rId39" display="https://webagentes.canaldirecto.com.ar/incidents/view/696526-8" xr:uid="{00000000-0004-0000-0200-000026000000}"/>
    <hyperlink ref="A53" r:id="rId40" display="https://webagentes.canaldirecto.com.ar/incidents/view/696525-9" xr:uid="{00000000-0004-0000-0200-000027000000}"/>
    <hyperlink ref="A48" r:id="rId41" display="https://webagentes.canaldirecto.com.ar/incidents/view/696524-0" xr:uid="{00000000-0004-0000-0200-000028000000}"/>
    <hyperlink ref="A59" r:id="rId42" display="https://webagentes.canaldirecto.com.ar/incidents/view/706568-0" xr:uid="{00000000-0004-0000-0200-000029000000}"/>
    <hyperlink ref="A60" r:id="rId43" display="https://webagentes.canaldirecto.com.ar/incidents/view/706160-2" xr:uid="{00000000-0004-0000-0200-00002A000000}"/>
    <hyperlink ref="A61" r:id="rId44" display="https://webagentes.canaldirecto.com.ar/incidents/view/706159-6" xr:uid="{00000000-0004-0000-0200-00002B000000}"/>
    <hyperlink ref="A58" r:id="rId45" display="https://webagentes.canaldirecto.com.ar/incidents/view/703856-1" xr:uid="{00000000-0004-0000-0200-00002C000000}"/>
    <hyperlink ref="A57" r:id="rId46" display="https://webagentes.canaldirecto.com.ar/incidents/view/701419-0" xr:uid="{00000000-0004-0000-0200-00002D000000}"/>
    <hyperlink ref="A79" r:id="rId47" display="https://webagentes.canaldirecto.com.ar/incidents/view/711400-1" xr:uid="{00000000-0004-0000-0200-00002E000000}"/>
    <hyperlink ref="A80" r:id="rId48" display="https://webagentes.canaldirecto.com.ar/incidents/view/711399-6" xr:uid="{00000000-0004-0000-0200-00002F000000}"/>
    <hyperlink ref="A82" r:id="rId49" display="https://webagentes.canaldirecto.com.ar/incidents/view/708990-9" xr:uid="{00000000-0004-0000-0200-000030000000}"/>
    <hyperlink ref="A83" r:id="rId50" display="https://webagentes.canaldirecto.com.ar/incidents/view/708989-3" xr:uid="{00000000-0004-0000-0200-000031000000}"/>
    <hyperlink ref="A84" r:id="rId51" display="https://webagentes.canaldirecto.com.ar/incidents/view/708988-4" xr:uid="{00000000-0004-0000-0200-000032000000}"/>
    <hyperlink ref="A85" r:id="rId52" display="https://webagentes.canaldirecto.com.ar/incidents/view/708987-5" xr:uid="{00000000-0004-0000-0200-000033000000}"/>
    <hyperlink ref="A67" r:id="rId53" display="https://webagentes.canaldirecto.com.ar/incidents/view/708380-8" xr:uid="{00000000-0004-0000-0200-000034000000}"/>
    <hyperlink ref="A69" r:id="rId54" display="https://webagentes.canaldirecto.com.ar/incidents/view/708379-2" xr:uid="{00000000-0004-0000-0200-000035000000}"/>
    <hyperlink ref="A70" r:id="rId55" display="https://webagentes.canaldirecto.com.ar/incidents/view/708378-3" xr:uid="{00000000-0004-0000-0200-000036000000}"/>
    <hyperlink ref="A71" r:id="rId56" display="https://webagentes.canaldirecto.com.ar/incidents/view/708377-4" xr:uid="{00000000-0004-0000-0200-000037000000}"/>
    <hyperlink ref="A72" r:id="rId57" display="https://webagentes.canaldirecto.com.ar/incidents/view/708376-5" xr:uid="{00000000-0004-0000-0200-000038000000}"/>
    <hyperlink ref="A73" r:id="rId58" display="https://webagentes.canaldirecto.com.ar/incidents/view/708375-6" xr:uid="{00000000-0004-0000-0200-000039000000}"/>
    <hyperlink ref="A74" r:id="rId59" display="https://webagentes.canaldirecto.com.ar/incidents/view/708374-7" xr:uid="{00000000-0004-0000-0200-00003A000000}"/>
    <hyperlink ref="A75" r:id="rId60" display="https://webagentes.canaldirecto.com.ar/incidents/view/708373-8" xr:uid="{00000000-0004-0000-0200-00003B000000}"/>
    <hyperlink ref="A76" r:id="rId61" display="https://webagentes.canaldirecto.com.ar/incidents/view/708372-9" xr:uid="{00000000-0004-0000-0200-00003C000000}"/>
    <hyperlink ref="A77" r:id="rId62" display="https://webagentes.canaldirecto.com.ar/incidents/view/708371-0" xr:uid="{00000000-0004-0000-0200-00003D000000}"/>
    <hyperlink ref="A78" r:id="rId63" display="https://webagentes.canaldirecto.com.ar/incidents/view/708370-1" xr:uid="{00000000-0004-0000-0200-00003E000000}"/>
    <hyperlink ref="A66" r:id="rId64" display="https://webagentes.canaldirecto.com.ar/incidents/view/707706-5" xr:uid="{00000000-0004-0000-0200-00003F000000}"/>
    <hyperlink ref="A65" r:id="rId65" display="https://webagentes.canaldirecto.com.ar/incidents/view/705679-8" xr:uid="{00000000-0004-0000-0200-000040000000}"/>
    <hyperlink ref="A89" r:id="rId66" display="https://webagentes.canaldirecto.com.ar/incidents/view/713906-4" xr:uid="{00000000-0004-0000-0200-000041000000}"/>
    <hyperlink ref="A90" r:id="rId67" display="https://webagentes.canaldirecto.com.ar/incidents/view/713905-5" xr:uid="{00000000-0004-0000-0200-000042000000}"/>
    <hyperlink ref="A91" r:id="rId68" display="https://webagentes.canaldirecto.com.ar/incidents/view/713904-6" xr:uid="{00000000-0004-0000-0200-000043000000}"/>
    <hyperlink ref="A94" r:id="rId69" display="https://webagentes.canaldirecto.com.ar/incidents/view/708990-9" xr:uid="{00000000-0004-0000-0200-000044000000}"/>
    <hyperlink ref="A95" r:id="rId70" display="https://webagentes.canaldirecto.com.ar/incidents/view/708989-3" xr:uid="{00000000-0004-0000-0200-000045000000}"/>
    <hyperlink ref="A96" r:id="rId71" display="https://webagentes.canaldirecto.com.ar/incidents/view/708988-4" xr:uid="{00000000-0004-0000-0200-000046000000}"/>
    <hyperlink ref="A97" r:id="rId72" display="https://webagentes.canaldirecto.com.ar/incidents/view/708987-5" xr:uid="{00000000-0004-0000-0200-000047000000}"/>
    <hyperlink ref="A88" r:id="rId73" display="https://webagentes.canaldirecto.com.ar/incidents/view/700600-3" xr:uid="{00000000-0004-0000-0200-000048000000}"/>
    <hyperlink ref="A101" r:id="rId74" display="https://webagentes.canaldirecto.com.ar/incidents/view/715721-9" xr:uid="{00000000-0004-0000-0200-000049000000}"/>
    <hyperlink ref="A110" r:id="rId75" display="https://webagentes.canaldirecto.com.ar/incidents/view/720348-4" xr:uid="{00000000-0004-0000-0200-00004A000000}"/>
    <hyperlink ref="A111" r:id="rId76" display="https://webagentes.canaldirecto.com.ar/incidents/view/720347-5" xr:uid="{00000000-0004-0000-0200-00004B000000}"/>
    <hyperlink ref="A112" r:id="rId77" display="https://webagentes.canaldirecto.com.ar/incidents/view/720346-6" xr:uid="{00000000-0004-0000-0200-00004C000000}"/>
    <hyperlink ref="A113" r:id="rId78" display="https://webagentes.canaldirecto.com.ar/incidents/view/720344-8" xr:uid="{00000000-0004-0000-0200-00004D000000}"/>
    <hyperlink ref="A114" r:id="rId79" display="https://webagentes.canaldirecto.com.ar/incidents/view/720343-9" xr:uid="{00000000-0004-0000-0200-00004E000000}"/>
    <hyperlink ref="A115" r:id="rId80" display="https://webagentes.canaldirecto.com.ar/incidents/view/720340-2" xr:uid="{00000000-0004-0000-0200-00004F000000}"/>
    <hyperlink ref="A107" r:id="rId81" display="https://webagentes.canaldirecto.com.ar/incidents/view/718237-6" xr:uid="{00000000-0004-0000-0200-000050000000}"/>
    <hyperlink ref="A108" r:id="rId82" display="https://webagentes.canaldirecto.com.ar/incidents/view/718213-6" xr:uid="{00000000-0004-0000-0200-000051000000}"/>
    <hyperlink ref="A106" r:id="rId83" display="https://webagentes.canaldirecto.com.ar/incidents/view/717305-9" xr:uid="{00000000-0004-0000-0200-000052000000}"/>
    <hyperlink ref="A120" r:id="rId84" display="https://webagentes.canaldirecto.com.ar/incidents/view/718238-5" xr:uid="{00000000-0004-0000-0200-000053000000}"/>
    <hyperlink ref="A119" r:id="rId85" display="https://webagentes.canaldirecto.com.ar/incidents/view/689320-8" xr:uid="{00000000-0004-0000-0200-000054000000}"/>
    <hyperlink ref="A118" r:id="rId86" display="https://webagentes.canaldirecto.com.ar/incidents/view/669134-5" xr:uid="{00000000-0004-0000-0200-000055000000}"/>
    <hyperlink ref="A125" r:id="rId87" display="https://webagentes.canaldirecto.com.ar/incidents/view/725104-7" xr:uid="{00000000-0004-0000-0200-000056000000}"/>
    <hyperlink ref="A124" r:id="rId88" display="https://webagentes.canaldirecto.com.ar/incidents/view/724690-2" xr:uid="{00000000-0004-0000-0200-000057000000}"/>
    <hyperlink ref="A132" r:id="rId89" display="https://webagentes.canaldirecto.com.ar/incidents/view/730573-7" xr:uid="{00000000-0004-0000-0200-000058000000}"/>
    <hyperlink ref="A129" r:id="rId90" display="https://webagentes.canaldirecto.com.ar/incidents/view/727628-6" xr:uid="{00000000-0004-0000-0200-000059000000}"/>
    <hyperlink ref="A130" r:id="rId91" display="https://webagentes.canaldirecto.com.ar/incidents/view/727396-0" xr:uid="{00000000-0004-0000-0200-00005A000000}"/>
    <hyperlink ref="A131" r:id="rId92" display="https://webagentes.canaldirecto.com.ar/incidents/view/727395-1" xr:uid="{00000000-0004-0000-0200-00005B000000}"/>
    <hyperlink ref="A128" r:id="rId93" display="https://webagentes.canaldirecto.com.ar/incidents/view/724087-4" xr:uid="{00000000-0004-0000-0200-00005C000000}"/>
    <hyperlink ref="A136" r:id="rId94" display="https://webagentes.canaldirecto.com.ar/incidents/view/733098-2" xr:uid="{00000000-0004-0000-0200-00005D000000}"/>
    <hyperlink ref="A137" r:id="rId95" display="https://webagentes.canaldirecto.com.ar/incidents/view/732694-3" xr:uid="{00000000-0004-0000-0200-00005E000000}"/>
    <hyperlink ref="A138" r:id="rId96" display="https://webagentes.canaldirecto.com.ar/incidents/view/732155-9" xr:uid="{00000000-0004-0000-0200-00005F000000}"/>
    <hyperlink ref="A142" r:id="rId97" display="https://webagentes.canaldirecto.com.ar/incidents/view/735343-3" xr:uid="{00000000-0004-0000-0200-000060000000}"/>
    <hyperlink ref="A141" r:id="rId98" display="https://webagentes.canaldirecto.com.ar/incidents/view/734614-1" xr:uid="{00000000-0004-0000-0200-000061000000}"/>
    <hyperlink ref="A147" r:id="rId99" display="https://webagentes.canaldirecto.com.ar/incidents/view/737798-3" xr:uid="{00000000-0004-0000-0200-000062000000}"/>
    <hyperlink ref="A148" r:id="rId100" display="https://webagentes.canaldirecto.com.ar/incidents/view/737456-0" xr:uid="{00000000-0004-0000-0200-000063000000}"/>
    <hyperlink ref="A146" r:id="rId101" display="https://webagentes.canaldirecto.com.ar/incidents/view/737430-2" xr:uid="{00000000-0004-0000-0200-000064000000}"/>
    <hyperlink ref="A153" r:id="rId102" display="https://webagentes.canaldirecto.com.ar/incidents/view/740680-5" xr:uid="{00000000-0004-0000-0200-000065000000}"/>
    <hyperlink ref="A155" r:id="rId103" display="https://webagentes.canaldirecto.com.ar/incidents/view/738994-2" xr:uid="{00000000-0004-0000-0200-000066000000}"/>
    <hyperlink ref="A156" r:id="rId104" display="https://webagentes.canaldirecto.com.ar/incidents/view/738993-3" xr:uid="{00000000-0004-0000-0200-000067000000}"/>
    <hyperlink ref="A157" r:id="rId105" display="https://webagentes.canaldirecto.com.ar/incidents/view/738992-4" xr:uid="{00000000-0004-0000-0200-000068000000}"/>
    <hyperlink ref="A152" r:id="rId106" display="https://webagentes.canaldirecto.com.ar/incidents/view/731504-4" xr:uid="{00000000-0004-0000-0200-000069000000}"/>
    <hyperlink ref="A160" r:id="rId107" display="https://webagentes.canaldirecto.com.ar/incidents/view/742427-2" xr:uid="{00000000-0004-0000-0200-00006A000000}"/>
    <hyperlink ref="A169" r:id="rId108" display="https://webagentes.canaldirecto.com.ar/incidents/view/741411-4" xr:uid="{00000000-0004-0000-0200-00006B000000}"/>
    <hyperlink ref="A168" r:id="rId109" display="https://webagentes.canaldirecto.com.ar/incidents/view/741410-5" xr:uid="{00000000-0004-0000-0200-00006C000000}"/>
    <hyperlink ref="A165" r:id="rId110" display="https://webagentes.canaldirecto.com.ar/incidents/view/741409-9" xr:uid="{00000000-0004-0000-0200-00006D000000}"/>
    <hyperlink ref="A167" r:id="rId111" display="https://webagentes.canaldirecto.com.ar/incidents/view/741408-0" xr:uid="{00000000-0004-0000-0200-00006E000000}"/>
    <hyperlink ref="A166" r:id="rId112" display="https://webagentes.canaldirecto.com.ar/incidents/view/741407-1" xr:uid="{00000000-0004-0000-0200-00006F000000}"/>
    <hyperlink ref="A164" r:id="rId113" display="https://webagentes.canaldirecto.com.ar/incidents/view/741406-2" xr:uid="{00000000-0004-0000-0200-000070000000}"/>
    <hyperlink ref="A162" r:id="rId114" display="https://webagentes.canaldirecto.com.ar/incidents/view/741405-3" xr:uid="{00000000-0004-0000-0200-000071000000}"/>
    <hyperlink ref="A163" r:id="rId115" display="https://webagentes.canaldirecto.com.ar/incidents/view/720341-1" xr:uid="{00000000-0004-0000-0200-000072000000}"/>
    <hyperlink ref="A174" r:id="rId116" display="https://webagentes.canaldirecto.com.ar/incidents/view/745601-3" xr:uid="{00000000-0004-0000-0200-000073000000}"/>
    <hyperlink ref="A175" r:id="rId117" display="https://webagentes.canaldirecto.com.ar/incidents/view/745429-1" xr:uid="{00000000-0004-0000-0200-000074000000}"/>
    <hyperlink ref="A172" r:id="rId118" display="https://webagentes.canaldirecto.com.ar/incidents/view/745428-2" xr:uid="{00000000-0004-0000-0200-000075000000}"/>
    <hyperlink ref="A173" r:id="rId119" display="https://webagentes.canaldirecto.com.ar/incidents/view/745407-9" xr:uid="{00000000-0004-0000-0200-000076000000}"/>
    <hyperlink ref="A181" r:id="rId120" display="https://webagentes.canaldirecto.com.ar/incidents/view/749162-7" xr:uid="{00000000-0004-0000-0200-000077000000}"/>
    <hyperlink ref="A180" r:id="rId121" display="https://webagentes.canaldirecto.com.ar/incidents/view/747521-2" xr:uid="{00000000-0004-0000-0200-000078000000}"/>
    <hyperlink ref="A179" r:id="rId122" display="https://webagentes.canaldirecto.com.ar/incidents/view/746415-5" xr:uid="{00000000-0004-0000-0200-000079000000}"/>
    <hyperlink ref="A186" r:id="rId123" display="https://webagentes.canaldirecto.com.ar/incidents/view/752004-4" xr:uid="{00000000-0004-0000-0200-00007A000000}"/>
    <hyperlink ref="A185" r:id="rId124" display="https://webagentes.canaldirecto.com.ar/incidents/view/751973-8" xr:uid="{00000000-0004-0000-0200-00007B000000}"/>
    <hyperlink ref="A213" r:id="rId125" display="https://webagentes.canaldirecto.com.ar/incidents/view/756401-1" xr:uid="{00000000-0004-0000-0200-00007C000000}"/>
    <hyperlink ref="A214" r:id="rId126" display="https://webagentes.canaldirecto.com.ar/incidents/view/756400-2" xr:uid="{00000000-0004-0000-0200-00007D000000}"/>
    <hyperlink ref="A215" r:id="rId127" display="https://webagentes.canaldirecto.com.ar/incidents/view/756398-8" xr:uid="{00000000-0004-0000-0200-00007E000000}"/>
    <hyperlink ref="A209" r:id="rId128" display="https://webagentes.canaldirecto.com.ar/incidents/view/756330-4" xr:uid="{00000000-0004-0000-0200-00007F000000}"/>
    <hyperlink ref="A210" r:id="rId129" display="https://webagentes.canaldirecto.com.ar/incidents/view/756328-9" xr:uid="{00000000-0004-0000-0200-000080000000}"/>
    <hyperlink ref="A211" r:id="rId130" display="https://webagentes.canaldirecto.com.ar/incidents/view/756327-0" xr:uid="{00000000-0004-0000-0200-000081000000}"/>
    <hyperlink ref="A212" r:id="rId131" display="https://webagentes.canaldirecto.com.ar/incidents/view/756326-1" xr:uid="{00000000-0004-0000-0200-000082000000}"/>
    <hyperlink ref="A205" r:id="rId132" display="https://webagentes.canaldirecto.com.ar/incidents/view/756325-2" xr:uid="{00000000-0004-0000-0200-000083000000}"/>
    <hyperlink ref="A206" r:id="rId133" display="https://webagentes.canaldirecto.com.ar/incidents/view/756324-3" xr:uid="{00000000-0004-0000-0200-000084000000}"/>
    <hyperlink ref="A207" r:id="rId134" display="https://webagentes.canaldirecto.com.ar/incidents/view/756213-8" xr:uid="{00000000-0004-0000-0200-000085000000}"/>
    <hyperlink ref="A208" r:id="rId135" display="https://webagentes.canaldirecto.com.ar/incidents/view/756212-9" xr:uid="{00000000-0004-0000-0200-000086000000}"/>
    <hyperlink ref="A193" r:id="rId136" display="https://webagentes.canaldirecto.com.ar/incidents/view/756049-5" xr:uid="{00000000-0004-0000-0200-000087000000}"/>
    <hyperlink ref="A204" r:id="rId137" display="https://webagentes.canaldirecto.com.ar/incidents/view/756040-4" xr:uid="{00000000-0004-0000-0200-000088000000}"/>
    <hyperlink ref="A194" r:id="rId138" display="https://webagentes.canaldirecto.com.ar/incidents/view/755983-3" xr:uid="{00000000-0004-0000-0200-000089000000}"/>
    <hyperlink ref="A195" r:id="rId139" display="https://webagentes.canaldirecto.com.ar/incidents/view/755982-4" xr:uid="{00000000-0004-0000-0200-00008A000000}"/>
    <hyperlink ref="A196" r:id="rId140" display="https://webagentes.canaldirecto.com.ar/incidents/view/755981-5" xr:uid="{00000000-0004-0000-0200-00008B000000}"/>
    <hyperlink ref="A197" r:id="rId141" display="https://webagentes.canaldirecto.com.ar/incidents/view/755980-6" xr:uid="{00000000-0004-0000-0200-00008C000000}"/>
    <hyperlink ref="A198" r:id="rId142" display="https://webagentes.canaldirecto.com.ar/incidents/view/755979-0" xr:uid="{00000000-0004-0000-0200-00008D000000}"/>
    <hyperlink ref="A199" r:id="rId143" display="https://webagentes.canaldirecto.com.ar/incidents/view/755978-1" xr:uid="{00000000-0004-0000-0200-00008E000000}"/>
    <hyperlink ref="A200" r:id="rId144" display="https://webagentes.canaldirecto.com.ar/incidents/view/755977-2" xr:uid="{00000000-0004-0000-0200-00008F000000}"/>
    <hyperlink ref="A201" r:id="rId145" display="https://webagentes.canaldirecto.com.ar/incidents/view/755976-3" xr:uid="{00000000-0004-0000-0200-000090000000}"/>
    <hyperlink ref="A202" r:id="rId146" display="https://webagentes.canaldirecto.com.ar/incidents/view/755975-4" xr:uid="{00000000-0004-0000-0200-000091000000}"/>
    <hyperlink ref="A203" r:id="rId147" display="https://webagentes.canaldirecto.com.ar/incidents/view/755974-5" xr:uid="{00000000-0004-0000-0200-000092000000}"/>
    <hyperlink ref="A190" r:id="rId148" display="https://webagentes.canaldirecto.com.ar/incidents/view/755410-2" xr:uid="{00000000-0004-0000-0200-000093000000}"/>
    <hyperlink ref="A189" r:id="rId149" display="https://webagentes.canaldirecto.com.ar/incidents/view/753093-5" xr:uid="{00000000-0004-0000-0200-000094000000}"/>
    <hyperlink ref="A219" r:id="rId150" display="https://webagentes.canaldirecto.com.ar/incidents/view/760738-9" xr:uid="{00000000-0004-0000-0200-000095000000}"/>
    <hyperlink ref="A218" r:id="rId151" display="https://webagentes.canaldirecto.com.ar/incidents/view/741601-5" xr:uid="{00000000-0004-0000-0200-000096000000}"/>
    <hyperlink ref="A242" r:id="rId152" display="https://webagentes.canaldirecto.com.ar/incidents/view/765748-1" xr:uid="{00000000-0004-0000-0200-000097000000}"/>
    <hyperlink ref="A243" r:id="rId153" display="https://webagentes.canaldirecto.com.ar/incidents/view/765747-2" xr:uid="{00000000-0004-0000-0200-000098000000}"/>
    <hyperlink ref="A244" r:id="rId154" display="https://webagentes.canaldirecto.com.ar/incidents/view/765745-4" xr:uid="{00000000-0004-0000-0200-000099000000}"/>
    <hyperlink ref="A238" r:id="rId155" display="https://webagentes.canaldirecto.com.ar/incidents/view/765387-4" xr:uid="{00000000-0004-0000-0200-00009A000000}"/>
    <hyperlink ref="A239" r:id="rId156" display="https://webagentes.canaldirecto.com.ar/incidents/view/765311-1" xr:uid="{00000000-0004-0000-0200-00009B000000}"/>
    <hyperlink ref="A240" r:id="rId157" display="https://webagentes.canaldirecto.com.ar/incidents/view/765310-2" xr:uid="{00000000-0004-0000-0200-00009C000000}"/>
    <hyperlink ref="A241" r:id="rId158" display="https://webagentes.canaldirecto.com.ar/incidents/view/765309-6" xr:uid="{00000000-0004-0000-0200-00009D000000}"/>
    <hyperlink ref="A224" r:id="rId159" display="https://webagentes.canaldirecto.com.ar/incidents/view/764900-2" xr:uid="{00000000-0004-0000-0200-00009E000000}"/>
    <hyperlink ref="A225" r:id="rId160" display="https://webagentes.canaldirecto.com.ar/incidents/view/764899-7" xr:uid="{00000000-0004-0000-0200-00009F000000}"/>
    <hyperlink ref="A226" r:id="rId161" display="https://webagentes.canaldirecto.com.ar/incidents/view/764898-8" xr:uid="{00000000-0004-0000-0200-0000A0000000}"/>
    <hyperlink ref="A227" r:id="rId162" display="https://webagentes.canaldirecto.com.ar/incidents/view/764897-9" xr:uid="{00000000-0004-0000-0200-0000A1000000}"/>
    <hyperlink ref="A228" r:id="rId163" display="https://webagentes.canaldirecto.com.ar/incidents/view/764896-0" xr:uid="{00000000-0004-0000-0200-0000A2000000}"/>
    <hyperlink ref="A229" r:id="rId164" display="https://webagentes.canaldirecto.com.ar/incidents/view/764895-1" xr:uid="{00000000-0004-0000-0200-0000A3000000}"/>
    <hyperlink ref="A230" r:id="rId165" display="https://webagentes.canaldirecto.com.ar/incidents/view/764894-2" xr:uid="{00000000-0004-0000-0200-0000A4000000}"/>
    <hyperlink ref="A231" r:id="rId166" display="https://webagentes.canaldirecto.com.ar/incidents/view/764893-3" xr:uid="{00000000-0004-0000-0200-0000A5000000}"/>
    <hyperlink ref="A232" r:id="rId167" display="https://webagentes.canaldirecto.com.ar/incidents/view/764892-4" xr:uid="{00000000-0004-0000-0200-0000A6000000}"/>
    <hyperlink ref="A233" r:id="rId168" display="https://webagentes.canaldirecto.com.ar/incidents/view/764891-5" xr:uid="{00000000-0004-0000-0200-0000A7000000}"/>
    <hyperlink ref="A234" r:id="rId169" display="https://webagentes.canaldirecto.com.ar/incidents/view/764890-6" xr:uid="{00000000-0004-0000-0200-0000A8000000}"/>
    <hyperlink ref="A235" r:id="rId170" display="https://webagentes.canaldirecto.com.ar/incidents/view/764889-0" xr:uid="{00000000-0004-0000-0200-0000A9000000}"/>
    <hyperlink ref="A236" r:id="rId171" display="https://webagentes.canaldirecto.com.ar/incidents/view/764883-6" xr:uid="{00000000-0004-0000-0200-0000AA000000}"/>
    <hyperlink ref="A237" r:id="rId172" display="https://webagentes.canaldirecto.com.ar/incidents/view/764882-7" xr:uid="{00000000-0004-0000-0200-0000AB000000}"/>
    <hyperlink ref="A222" r:id="rId173" display="https://webagentes.canaldirecto.com.ar/incidents/view/764253-1" xr:uid="{00000000-0004-0000-0200-0000AC000000}"/>
    <hyperlink ref="A247" r:id="rId174" display="https://webagentes.canaldirecto.com.ar/incidents/view/767304-5" xr:uid="{00000000-0004-0000-0200-0000AD000000}"/>
    <hyperlink ref="A248" r:id="rId175" display="https://webagentes.canaldirecto.com.ar/incidents/view/767302-7" xr:uid="{00000000-0004-0000-0200-0000AE000000}"/>
    <hyperlink ref="A254" r:id="rId176" display="https://webagentes.canaldirecto.com.ar/incidents/view/774072-7" xr:uid="{00000000-0004-0000-0200-0000AF000000}"/>
    <hyperlink ref="A255" r:id="rId177" display="https://webagentes.canaldirecto.com.ar/incidents/view/774071-8" xr:uid="{00000000-0004-0000-0200-0000B0000000}"/>
    <hyperlink ref="A256" r:id="rId178" display="https://webagentes.canaldirecto.com.ar/incidents/view/774070-9" xr:uid="{00000000-0004-0000-0200-0000B1000000}"/>
    <hyperlink ref="A257" r:id="rId179" display="https://webagentes.canaldirecto.com.ar/incidents/view/774069-3" xr:uid="{00000000-0004-0000-0200-0000B2000000}"/>
    <hyperlink ref="A258" r:id="rId180" display="https://webagentes.canaldirecto.com.ar/incidents/view/774068-4" xr:uid="{00000000-0004-0000-0200-0000B3000000}"/>
    <hyperlink ref="A259" r:id="rId181" display="https://webagentes.canaldirecto.com.ar/incidents/view/774067-5" xr:uid="{00000000-0004-0000-0200-0000B4000000}"/>
    <hyperlink ref="A260" r:id="rId182" display="https://webagentes.canaldirecto.com.ar/incidents/view/774066-6" xr:uid="{00000000-0004-0000-0200-0000B5000000}"/>
    <hyperlink ref="A261" r:id="rId183" display="https://webagentes.canaldirecto.com.ar/incidents/view/774065-7" xr:uid="{00000000-0004-0000-0200-0000B6000000}"/>
    <hyperlink ref="A262" r:id="rId184" display="https://webagentes.canaldirecto.com.ar/incidents/view/774064-8" xr:uid="{00000000-0004-0000-0200-0000B7000000}"/>
    <hyperlink ref="A263" r:id="rId185" display="https://webagentes.canaldirecto.com.ar/incidents/view/774062-0" xr:uid="{00000000-0004-0000-0200-0000B8000000}"/>
    <hyperlink ref="A264" r:id="rId186" display="https://webagentes.canaldirecto.com.ar/incidents/view/774061-1" xr:uid="{00000000-0004-0000-0200-0000B9000000}"/>
    <hyperlink ref="A252" r:id="rId187" display="https://webagentes.canaldirecto.com.ar/incidents/view/773096-0" xr:uid="{00000000-0004-0000-0200-0000BA000000}"/>
    <hyperlink ref="A269" r:id="rId188" display="https://webagentes.canaldirecto.com.ar/incidents/view/776988-3" xr:uid="{00000000-0004-0000-0200-0000BB000000}"/>
    <hyperlink ref="A270" r:id="rId189" display="https://webagentes.canaldirecto.com.ar/incidents/view/776987-4" xr:uid="{00000000-0004-0000-0200-0000BC000000}"/>
    <hyperlink ref="A271" r:id="rId190" display="https://webagentes.canaldirecto.com.ar/incidents/view/776986-5" xr:uid="{00000000-0004-0000-0200-0000BD000000}"/>
    <hyperlink ref="A272" r:id="rId191" display="https://webagentes.canaldirecto.com.ar/incidents/view/776985-6" xr:uid="{00000000-0004-0000-0200-0000BE000000}"/>
    <hyperlink ref="A276" r:id="rId192" display="https://webagentes.canaldirecto.com.ar/incidents/view/774541-2" xr:uid="{00000000-0004-0000-0200-0000BF000000}"/>
    <hyperlink ref="A277" r:id="rId193" display="https://webagentes.canaldirecto.com.ar/incidents/view/774540-3" xr:uid="{00000000-0004-0000-0200-0000C0000000}"/>
    <hyperlink ref="A278" r:id="rId194" display="https://webagentes.canaldirecto.com.ar/incidents/view/774539-7" xr:uid="{00000000-0004-0000-0200-0000C1000000}"/>
    <hyperlink ref="A268" r:id="rId195" display="https://webagentes.canaldirecto.com.ar/incidents/view/774461-7" xr:uid="{00000000-0004-0000-0200-0000C2000000}"/>
    <hyperlink ref="A281" r:id="rId196" display="https://webagentes.canaldirecto.com.ar/incidents/view/774842-8" xr:uid="{00000000-0004-0000-0200-0000C3000000}"/>
    <hyperlink ref="A286" r:id="rId197" display="https://webagentes.canaldirecto.com.ar/incidents/view/779452-4" xr:uid="{00000000-0004-0000-0200-0000C4000000}"/>
    <hyperlink ref="A291" r:id="rId198" display="https://webagentes.canaldirecto.com.ar/incidents/view/784046-1" xr:uid="{00000000-0004-0000-0200-0000C5000000}"/>
    <hyperlink ref="A312" r:id="rId199" display="https://webagentes.canaldirecto.com.ar/incidents/view/796138-4" xr:uid="{00000000-0004-0000-0200-0000C6000000}"/>
    <hyperlink ref="A313" r:id="rId200" display="https://webagentes.canaldirecto.com.ar/incidents/view/796137-5" xr:uid="{00000000-0004-0000-0200-0000C7000000}"/>
    <hyperlink ref="A314" r:id="rId201" display="https://webagentes.canaldirecto.com.ar/incidents/view/796136-6" xr:uid="{00000000-0004-0000-0200-0000C8000000}"/>
    <hyperlink ref="A311" r:id="rId202" display="https://webagentes.canaldirecto.com.ar/incidents/view/795830-8" xr:uid="{00000000-0004-0000-0200-0000C9000000}"/>
    <hyperlink ref="A297" r:id="rId203" display="https://webagentes.canaldirecto.com.ar/incidents/view/793270-8" xr:uid="{00000000-0004-0000-0200-0000CA000000}"/>
    <hyperlink ref="A315" r:id="rId204" display="https://webagentes.canaldirecto.com.ar/incidents/view/792725-6" xr:uid="{00000000-0004-0000-0200-0000CB000000}"/>
    <hyperlink ref="A316" r:id="rId205" display="https://webagentes.canaldirecto.com.ar/incidents/view/792724-7" xr:uid="{00000000-0004-0000-0200-0000CC000000}"/>
    <hyperlink ref="A308" r:id="rId206" display="https://webagentes.canaldirecto.com.ar/incidents/view/792722-9" xr:uid="{00000000-0004-0000-0200-0000CD000000}"/>
    <hyperlink ref="A309" r:id="rId207" display="https://webagentes.canaldirecto.com.ar/incidents/view/792721-0" xr:uid="{00000000-0004-0000-0200-0000CE000000}"/>
    <hyperlink ref="A303" r:id="rId208" display="https://webagentes.canaldirecto.com.ar/incidents/view/792720-1" xr:uid="{00000000-0004-0000-0200-0000CF000000}"/>
    <hyperlink ref="A304" r:id="rId209" display="https://webagentes.canaldirecto.com.ar/incidents/view/792719-5" xr:uid="{00000000-0004-0000-0200-0000D0000000}"/>
    <hyperlink ref="A299" r:id="rId210" display="https://webagentes.canaldirecto.com.ar/incidents/view/792718-6" xr:uid="{00000000-0004-0000-0200-0000D1000000}"/>
    <hyperlink ref="A305" r:id="rId211" display="https://webagentes.canaldirecto.com.ar/incidents/view/792717-7" xr:uid="{00000000-0004-0000-0200-0000D2000000}"/>
    <hyperlink ref="A300" r:id="rId212" display="https://webagentes.canaldirecto.com.ar/incidents/view/792716-8" xr:uid="{00000000-0004-0000-0200-0000D3000000}"/>
    <hyperlink ref="A306" r:id="rId213" display="https://webagentes.canaldirecto.com.ar/incidents/view/792714-0" xr:uid="{00000000-0004-0000-0200-0000D4000000}"/>
    <hyperlink ref="A307" r:id="rId214" display="https://webagentes.canaldirecto.com.ar/incidents/view/792713-1" xr:uid="{00000000-0004-0000-0200-0000D5000000}"/>
    <hyperlink ref="A301" r:id="rId215" display="https://webagentes.canaldirecto.com.ar/incidents/view/792710-4" xr:uid="{00000000-0004-0000-0200-0000D6000000}"/>
    <hyperlink ref="A302" r:id="rId216" display="https://webagentes.canaldirecto.com.ar/incidents/view/792709-8" xr:uid="{00000000-0004-0000-0200-0000D7000000}"/>
    <hyperlink ref="A310" r:id="rId217" display="https://webagentes.canaldirecto.com.ar/incidents/view/792707-0" xr:uid="{00000000-0004-0000-0200-0000D8000000}"/>
    <hyperlink ref="A296" r:id="rId218" display="https://webagentes.canaldirecto.com.ar/incidents/view/788010-4" xr:uid="{00000000-0004-0000-0200-0000D9000000}"/>
    <hyperlink ref="A325" r:id="rId219" display="https://webagentes.canaldirecto.com.ar/incidents/view/797726-0" xr:uid="{00000000-0004-0000-0200-0000DA000000}"/>
    <hyperlink ref="A326" r:id="rId220" display="https://webagentes.canaldirecto.com.ar/incidents/view/797725-1" xr:uid="{00000000-0004-0000-0200-0000DB000000}"/>
    <hyperlink ref="A327" r:id="rId221" display="https://webagentes.canaldirecto.com.ar/incidents/view/797724-2" xr:uid="{00000000-0004-0000-0200-0000DC000000}"/>
    <hyperlink ref="A328" r:id="rId222" display="https://webagentes.canaldirecto.com.ar/incidents/view/797723-3" xr:uid="{00000000-0004-0000-0200-0000DD000000}"/>
    <hyperlink ref="A323" r:id="rId223" display="https://webagentes.canaldirecto.com.ar/incidents/view/797487-4" xr:uid="{00000000-0004-0000-0200-0000DE000000}"/>
    <hyperlink ref="A324" r:id="rId224" display="https://webagentes.canaldirecto.com.ar/incidents/view/797486-5" xr:uid="{00000000-0004-0000-0200-0000DF000000}"/>
    <hyperlink ref="A320" r:id="rId225" display="https://webagentes.canaldirecto.com.ar/incidents/view/797206-1" xr:uid="{00000000-0004-0000-0200-0000E0000000}"/>
    <hyperlink ref="A321" r:id="rId226" display="https://webagentes.canaldirecto.com.ar/incidents/view/792151-7" xr:uid="{00000000-0004-0000-0200-0000E1000000}"/>
    <hyperlink ref="A336" r:id="rId227" display="https://webagentes.canaldirecto.com.ar/incidents/view/803159-2" xr:uid="{00000000-0004-0000-0200-0000E2000000}"/>
    <hyperlink ref="A335" r:id="rId228" display="https://webagentes.canaldirecto.com.ar/incidents/view/801531-8" xr:uid="{00000000-0004-0000-0200-0000E3000000}"/>
    <hyperlink ref="A334" r:id="rId229" display="https://webagentes.canaldirecto.com.ar/incidents/view/801189-9" xr:uid="{00000000-0004-0000-0200-0000E4000000}"/>
    <hyperlink ref="A332" r:id="rId230" display="https://webagentes.canaldirecto.com.ar/incidents/view/801055-3" xr:uid="{00000000-0004-0000-0200-0000E5000000}"/>
    <hyperlink ref="A333" r:id="rId231" display="https://webagentes.canaldirecto.com.ar/incidents/view/800133-3" xr:uid="{00000000-0004-0000-0200-0000E6000000}"/>
    <hyperlink ref="A342" r:id="rId232" display="https://webagentes.canaldirecto.com.ar/incidents/view/806640-0" xr:uid="{00000000-0004-0000-0200-0000E7000000}"/>
    <hyperlink ref="A341" r:id="rId233" display="https://webagentes.canaldirecto.com.ar/incidents/view/806538-6" xr:uid="{00000000-0004-0000-0200-0000E8000000}"/>
    <hyperlink ref="A340" r:id="rId234" display="https://webagentes.canaldirecto.com.ar/incidents/view/801785-7" xr:uid="{00000000-0004-0000-0200-0000E9000000}"/>
    <hyperlink ref="A347" r:id="rId235" display="https://webagentes.canaldirecto.com.ar/incidents/view/807935-2" xr:uid="{00000000-0004-0000-0200-0000EA000000}"/>
    <hyperlink ref="A356" r:id="rId236" display="https://webagentes.canaldirecto.com.ar/incidents/view/810556-9" xr:uid="{00000000-0004-0000-0200-0000EB000000}"/>
    <hyperlink ref="A355" r:id="rId237" display="https://webagentes.canaldirecto.com.ar/incidents/view/802571-3" xr:uid="{00000000-0004-0000-0200-0000EC000000}"/>
    <hyperlink ref="A352" r:id="rId238" display="https://webagentes.canaldirecto.com.ar/incidents/view/791632-0" xr:uid="{00000000-0004-0000-0200-0000ED000000}"/>
    <hyperlink ref="A353" r:id="rId239" display="https://webagentes.canaldirecto.com.ar/incidents/view/791631-1" xr:uid="{00000000-0004-0000-0200-0000EE000000}"/>
    <hyperlink ref="A354" r:id="rId240" display="https://webagentes.canaldirecto.com.ar/incidents/view/788987-7" xr:uid="{00000000-0004-0000-0200-0000EF000000}"/>
    <hyperlink ref="A365" r:id="rId241" display="https://webagentes.canaldirecto.com.ar/incidents/view/815351-1" xr:uid="{00000000-0004-0000-0200-0000F0000000}"/>
    <hyperlink ref="A366" r:id="rId242" display="https://webagentes.canaldirecto.com.ar/incidents/view/815347-8" xr:uid="{00000000-0004-0000-0200-0000F1000000}"/>
    <hyperlink ref="A364" r:id="rId243" display="https://webagentes.canaldirecto.com.ar/incidents/view/815202-6" xr:uid="{00000000-0004-0000-0200-0000F2000000}"/>
    <hyperlink ref="A372" r:id="rId244" display="https://webagentes.canaldirecto.com.ar/incidents/view/815193-9" xr:uid="{00000000-0004-0000-0200-0000F3000000}"/>
    <hyperlink ref="A369" r:id="rId245" display="https://webagentes.canaldirecto.com.ar/incidents/view/815192-0" xr:uid="{00000000-0004-0000-0200-0000F4000000}"/>
    <hyperlink ref="A373" r:id="rId246" display="https://webagentes.canaldirecto.com.ar/incidents/view/815191-1" xr:uid="{00000000-0004-0000-0200-0000F5000000}"/>
    <hyperlink ref="A370" r:id="rId247" display="https://webagentes.canaldirecto.com.ar/incidents/view/815190-2" xr:uid="{00000000-0004-0000-0200-0000F6000000}"/>
    <hyperlink ref="A371" r:id="rId248" display="https://webagentes.canaldirecto.com.ar/incidents/view/815189-6" xr:uid="{00000000-0004-0000-0200-0000F7000000}"/>
    <hyperlink ref="A363" r:id="rId249" display="https://webagentes.canaldirecto.com.ar/incidents/view/814983-7" xr:uid="{00000000-0004-0000-0200-0000F8000000}"/>
    <hyperlink ref="A362" r:id="rId250" display="https://webagentes.canaldirecto.com.ar/incidents/view/814271-9" xr:uid="{00000000-0004-0000-0200-0000F9000000}"/>
    <hyperlink ref="A360" r:id="rId251" display="https://webagentes.canaldirecto.com.ar/incidents/view/814152-5" xr:uid="{00000000-0004-0000-0200-0000FA000000}"/>
    <hyperlink ref="A361" r:id="rId252" display="https://webagentes.canaldirecto.com.ar/incidents/view/814136-7" xr:uid="{00000000-0004-0000-0200-0000FB000000}"/>
    <hyperlink ref="A368" r:id="rId253" display="https://webagentes.canaldirecto.com.ar/incidents/view/792711-3" xr:uid="{00000000-0004-0000-0200-0000FC000000}"/>
    <hyperlink ref="A390" r:id="rId254" display="https://webagentes.canaldirecto.com.ar/incidents/view/819829-5" xr:uid="{0C0DB110-10AF-4F18-9595-76566051BE0F}"/>
    <hyperlink ref="A388" r:id="rId255" display="https://webagentes.canaldirecto.com.ar/incidents/view/818509-7" xr:uid="{7E7948CD-DDBF-46AF-ABEB-98F083942D23}"/>
    <hyperlink ref="A389" r:id="rId256" display="https://webagentes.canaldirecto.com.ar/incidents/view/818507-9" xr:uid="{9E53C9AB-2EC2-4838-9F5A-A44AEB4E1DB7}"/>
    <hyperlink ref="A384" r:id="rId257" display="https://webagentes.canaldirecto.com.ar/incidents/view/818019-9" xr:uid="{24387759-BE03-4B88-82D0-96D0149F0762}"/>
    <hyperlink ref="A383" r:id="rId258" display="https://webagentes.canaldirecto.com.ar/incidents/view/817799-1" xr:uid="{BECFDB85-860F-47F5-AF83-84944F1B4EBB}"/>
    <hyperlink ref="A386" r:id="rId259" display="https://webagentes.canaldirecto.com.ar/incidents/view/817777-9" xr:uid="{9B9621BA-F924-416E-825F-CFA2EA7C6E6B}"/>
    <hyperlink ref="A387" r:id="rId260" display="https://webagentes.canaldirecto.com.ar/incidents/view/817776-0" xr:uid="{696595FC-CF7A-481C-8C13-4A52F74E419F}"/>
    <hyperlink ref="A382" r:id="rId261" display="https://webagentes.canaldirecto.com.ar/incidents/view/816916-9" xr:uid="{E2BC6496-1971-40EC-86D8-35F1F3787940}"/>
    <hyperlink ref="A378" r:id="rId262" display="https://webagentes.canaldirecto.com.ar/incidents/view/815352-0" xr:uid="{90270579-EADB-4860-922A-C6245B114D8C}"/>
    <hyperlink ref="A380" r:id="rId263" display="https://webagentes.canaldirecto.com.ar/incidents/view/815350-2" xr:uid="{FC4B6677-50D0-47E9-8676-2A95316889F9}"/>
    <hyperlink ref="A381" r:id="rId264" display="https://webagentes.canaldirecto.com.ar/incidents/view/815349-6" xr:uid="{C713D414-43BA-4647-99AE-29E95A961D4A}"/>
    <hyperlink ref="A379" r:id="rId265" display="https://webagentes.canaldirecto.com.ar/incidents/view/815348-7" xr:uid="{A6F855A1-B048-4C50-91CB-925F5B04CC23}"/>
    <hyperlink ref="A395" r:id="rId266" display="https://webagentes.canaldirecto.com.ar/incidents/view/819831-0" xr:uid="{6970DD94-9622-43EB-A481-31EDD709E9C8}"/>
    <hyperlink ref="A393" r:id="rId267" display="https://webagentes.canaldirecto.com.ar/incidents/view/818915-4" xr:uid="{DA0550C1-FE5C-480B-9487-5F4FA23EB01B}"/>
    <hyperlink ref="A394" r:id="rId268" display="https://webagentes.canaldirecto.com.ar/incidents/view/818914-5" xr:uid="{7DF0B7A6-0D58-44C8-BB2A-123A3EBADAB9}"/>
    <hyperlink ref="A399" r:id="rId269" display="https://webagentes.canaldirecto.com.ar/incidents/view/822639-4" xr:uid="{289D70E2-083D-492E-AE6A-2853A344C352}"/>
    <hyperlink ref="A402" r:id="rId270" display="https://webagentes.canaldirecto.com.ar/incidents/view/830132-1" xr:uid="{E88A70CE-9E94-44A7-B7DF-7E41322B5F5B}"/>
  </hyperlinks>
  <pageMargins left="0.7" right="0.7" top="0.75" bottom="0.75" header="0.3" footer="0.3"/>
  <pageSetup paperSize="9" orientation="portrait" horizontalDpi="300" verticalDpi="300" r:id="rId271"/>
  <drawing r:id="rId2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ABRIL</vt:lpstr>
      <vt:lpstr>VIATICOS</vt:lpstr>
      <vt:lpstr>INCIDENTES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2026-03-04T16:10:14Z</cp:lastPrinted>
  <dcterms:created xsi:type="dcterms:W3CDTF">2015-08-13T12:04:51Z</dcterms:created>
  <dcterms:modified xsi:type="dcterms:W3CDTF">2026-05-08T13:42:14Z</dcterms:modified>
</cp:coreProperties>
</file>